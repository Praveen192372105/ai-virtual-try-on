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Case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F497D"/>
      <sz val="12"/>
    </font>
    <font>
      <name val="Calibri"/>
      <b val="1"/>
      <sz val="11"/>
    </font>
    <font>
      <name val="Calibri"/>
      <sz val="11"/>
    </font>
    <font>
      <name val="Calibri"/>
      <b val="1"/>
      <color rgb="00C65911"/>
      <sz val="11"/>
    </font>
    <font>
      <name val="Calibri"/>
      <b val="1"/>
      <color rgb="00375623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Status by Testing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Dashboard'!C13</f>
            </strRef>
          </tx>
          <spPr>
            <a:ln>
              <a:prstDash val="solid"/>
            </a:ln>
          </spPr>
          <cat>
            <numRef>
              <f>'Summary Dashboard'!$A$14:$A$17</f>
            </numRef>
          </cat>
          <val>
            <numRef>
              <f>'Summary Dashboard'!$C$14:$C$17</f>
            </numRef>
          </val>
        </ser>
        <ser>
          <idx val="1"/>
          <order val="1"/>
          <tx>
            <strRef>
              <f>'Summary Dashboard'!D13</f>
            </strRef>
          </tx>
          <spPr>
            <a:ln>
              <a:prstDash val="solid"/>
            </a:ln>
          </spPr>
          <cat>
            <numRef>
              <f>'Summary Dashboard'!$A$14:$A$17</f>
            </numRef>
          </cat>
          <val>
            <numRef>
              <f>'Summary Dashboard'!$D$14:$D$17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5" customWidth="1" min="3" max="3"/>
    <col width="28" customWidth="1" min="4" max="4"/>
    <col width="25" customWidth="1" min="5" max="5"/>
    <col width="15" customWidth="1" min="6" max="6"/>
    <col width="15" customWidth="1" min="7" max="7"/>
  </cols>
  <sheetData>
    <row r="1" ht="25" customHeight="1">
      <c r="A1" s="1" t="inlineStr">
        <is>
          <t>QA E2E AUTOMATION &amp; DEPLOYMENT REPORT</t>
        </is>
      </c>
    </row>
    <row r="2" ht="20" customHeight="1"/>
    <row r="4">
      <c r="A4" s="2" t="inlineStr">
        <is>
          <t>Execution Metadata</t>
        </is>
      </c>
      <c r="D4" s="2" t="inlineStr">
        <is>
          <t>Key Performance Indicators (KPIs)</t>
        </is>
      </c>
    </row>
    <row r="5">
      <c r="A5" s="3" t="inlineStr">
        <is>
          <t>Project Name:</t>
        </is>
      </c>
      <c r="B5" s="4" t="inlineStr">
        <is>
          <t>AI-Based Virtual Try-On Application</t>
        </is>
      </c>
      <c r="D5" s="5" t="inlineStr">
        <is>
          <t>Total E2E Test Cases:</t>
        </is>
      </c>
      <c r="E5" s="6">
        <f>'Test Cases Detail'!K3</f>
        <v/>
      </c>
    </row>
    <row r="6">
      <c r="A6" s="3" t="inlineStr">
        <is>
          <t>Date / Time:</t>
        </is>
      </c>
      <c r="B6" s="4" t="inlineStr">
        <is>
          <t>2026-06-18 09:30:52</t>
        </is>
      </c>
      <c r="D6" s="5" t="inlineStr">
        <is>
          <t>Total Passed:</t>
        </is>
      </c>
      <c r="E6" s="7">
        <f>'Test Cases Detail'!K4</f>
        <v/>
      </c>
    </row>
    <row r="7">
      <c r="A7" s="3" t="inlineStr">
        <is>
          <t>Test Environment:</t>
        </is>
      </c>
      <c r="B7" s="4" t="inlineStr">
        <is>
          <t>Local Staging (FastAPI + Flutter Web)</t>
        </is>
      </c>
      <c r="D7" s="5" t="inlineStr">
        <is>
          <t>Total Failed:</t>
        </is>
      </c>
      <c r="E7" s="8">
        <f>'Test Cases Detail'!K5</f>
        <v/>
      </c>
    </row>
    <row r="8">
      <c r="A8" s="3" t="inlineStr">
        <is>
          <t>Selenium Driver:</t>
        </is>
      </c>
      <c r="B8" s="4" t="inlineStr">
        <is>
          <t>Chrome WebDriver (Headless mode)</t>
        </is>
      </c>
      <c r="D8" s="5" t="inlineStr">
        <is>
          <t>Overall Pass Rate:</t>
        </is>
      </c>
      <c r="E8" s="9">
        <f>'Test Cases Detail'!K6</f>
        <v/>
      </c>
    </row>
    <row r="9">
      <c r="A9" s="3" t="inlineStr">
        <is>
          <t>Execution Engine:</t>
        </is>
      </c>
      <c r="B9" s="4" t="inlineStr">
        <is>
          <t>Python PyTest + Selenium 4.x</t>
        </is>
      </c>
      <c r="D9" s="5" t="inlineStr">
        <is>
          <t>Deployable Status:</t>
        </is>
      </c>
      <c r="E9" s="10">
        <f>'Test Cases Detail'!K7</f>
        <v/>
      </c>
    </row>
    <row r="10">
      <c r="A10" s="3" t="inlineStr">
        <is>
          <t>QA Lead:</t>
        </is>
      </c>
      <c r="B10" s="4" t="inlineStr">
        <is>
          <t>AI Virtual Try-On QA Automated Agent</t>
        </is>
      </c>
    </row>
    <row r="12">
      <c r="A12" s="2" t="inlineStr">
        <is>
          <t>Testing Category Breakdown</t>
        </is>
      </c>
    </row>
    <row r="13">
      <c r="A13" s="11" t="inlineStr">
        <is>
          <t>Test Category</t>
        </is>
      </c>
      <c r="B13" s="11" t="inlineStr">
        <is>
          <t>Total Cases</t>
        </is>
      </c>
      <c r="C13" s="11" t="inlineStr">
        <is>
          <t>Passed</t>
        </is>
      </c>
      <c r="D13" s="11" t="inlineStr">
        <is>
          <t>Failed</t>
        </is>
      </c>
      <c r="E13" s="11" t="inlineStr">
        <is>
          <t>Pass Rate (%)</t>
        </is>
      </c>
    </row>
    <row r="14">
      <c r="A14" s="12" t="inlineStr">
        <is>
          <t>UI/UX Testing</t>
        </is>
      </c>
      <c r="B14" s="6">
        <f>'Test Cases Detail'!K10</f>
        <v/>
      </c>
      <c r="C14" s="6">
        <f>'Test Cases Detail'!K11</f>
        <v/>
      </c>
      <c r="D14" s="6">
        <f>'Test Cases Detail'!K12</f>
        <v/>
      </c>
      <c r="E14" s="13">
        <f>C14/B14</f>
        <v/>
      </c>
    </row>
    <row r="15">
      <c r="A15" s="12" t="inlineStr">
        <is>
          <t>Functional Testing</t>
        </is>
      </c>
      <c r="B15" s="6">
        <f>'Test Cases Detail'!K15</f>
        <v/>
      </c>
      <c r="C15" s="6">
        <f>'Test Cases Detail'!K16</f>
        <v/>
      </c>
      <c r="D15" s="6">
        <f>'Test Cases Detail'!K17</f>
        <v/>
      </c>
      <c r="E15" s="13">
        <f>C15/B15</f>
        <v/>
      </c>
    </row>
    <row r="16">
      <c r="A16" s="12" t="inlineStr">
        <is>
          <t>Unit Testing</t>
        </is>
      </c>
      <c r="B16" s="6">
        <f>'Test Cases Detail'!K20</f>
        <v/>
      </c>
      <c r="C16" s="6">
        <f>'Test Cases Detail'!K21</f>
        <v/>
      </c>
      <c r="D16" s="6">
        <f>'Test Cases Detail'!K22</f>
        <v/>
      </c>
      <c r="E16" s="13">
        <f>C16/B16</f>
        <v/>
      </c>
    </row>
    <row r="17">
      <c r="A17" s="12" t="inlineStr">
        <is>
          <t>Validation &amp; Security</t>
        </is>
      </c>
      <c r="B17" s="6">
        <f>'Test Cases Detail'!K25</f>
        <v/>
      </c>
      <c r="C17" s="6">
        <f>'Test Cases Detail'!K26</f>
        <v/>
      </c>
      <c r="D17" s="6">
        <f>'Test Cases Detail'!K27</f>
        <v/>
      </c>
      <c r="E17" s="13">
        <f>C17/B17</f>
        <v/>
      </c>
    </row>
    <row r="18">
      <c r="A18" s="12" t="inlineStr">
        <is>
          <t>Total</t>
        </is>
      </c>
      <c r="B18" s="14">
        <f>SUM(B14:B17)</f>
        <v/>
      </c>
      <c r="C18" s="14">
        <f>SUM(C14:C17)</f>
        <v/>
      </c>
      <c r="D18" s="14">
        <f>SUM(D14:D17)</f>
        <v/>
      </c>
      <c r="E18" s="15">
        <f>C18/B18</f>
        <v/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1" customWidth="1" min="4" max="4"/>
    <col width="55" customWidth="1" min="5" max="5"/>
    <col width="55" customWidth="1" min="6" max="6"/>
    <col width="55" customWidth="1" min="7" max="7"/>
    <col width="10" customWidth="1" min="8" max="8"/>
    <col width="21" customWidth="1" min="9" max="9"/>
    <col width="13" customWidth="1" min="10" max="10"/>
    <col width="13" customWidth="1" min="11" max="11"/>
  </cols>
  <sheetData>
    <row r="1" ht="28" customHeight="1">
      <c r="A1" s="11" t="inlineStr">
        <is>
          <t>Test ID</t>
        </is>
      </c>
      <c r="B1" s="11" t="inlineStr">
        <is>
          <t>Feature/Module</t>
        </is>
      </c>
      <c r="C1" s="11" t="inlineStr">
        <is>
          <t>Test Type</t>
        </is>
      </c>
      <c r="D1" s="11" t="inlineStr">
        <is>
          <t>Priority</t>
        </is>
      </c>
      <c r="E1" s="11" t="inlineStr">
        <is>
          <t>Description</t>
        </is>
      </c>
      <c r="F1" s="11" t="inlineStr">
        <is>
          <t>Steps</t>
        </is>
      </c>
      <c r="G1" s="11" t="inlineStr">
        <is>
          <t>Expected Result</t>
        </is>
      </c>
      <c r="H1" s="11" t="inlineStr">
        <is>
          <t>Status</t>
        </is>
      </c>
      <c r="I1" s="11" t="inlineStr">
        <is>
          <t>Execution Time (s)</t>
        </is>
      </c>
      <c r="J1" s="11" t="inlineStr">
        <is>
          <t>Notes</t>
        </is>
      </c>
    </row>
    <row r="2" ht="42" customHeight="1">
      <c r="A2" s="6" t="inlineStr">
        <is>
          <t>TS-UI-001</t>
        </is>
      </c>
      <c r="B2" s="16" t="inlineStr">
        <is>
          <t>Landing Page</t>
        </is>
      </c>
      <c r="C2" s="6" t="inlineStr">
        <is>
          <t>UI/UX Testing</t>
        </is>
      </c>
      <c r="D2" s="6" t="inlineStr">
        <is>
          <t>High</t>
        </is>
      </c>
      <c r="E2" s="17" t="inlineStr">
        <is>
          <t>Verify layout rendering of landing screen</t>
        </is>
      </c>
      <c r="F2" s="17" t="inlineStr">
        <is>
          <t>1. Open app
2. Wait for splash screen load</t>
        </is>
      </c>
      <c r="G2" s="17" t="inlineStr">
        <is>
          <t>Landing page should render with glassmorphic cards and dark cyberpunk theme</t>
        </is>
      </c>
      <c r="H2" s="18" t="inlineStr">
        <is>
          <t>PASS</t>
        </is>
      </c>
      <c r="I2" s="19" t="n">
        <v>0.4</v>
      </c>
      <c r="J2" s="17" t="inlineStr">
        <is>
          <t>Total Count:</t>
        </is>
      </c>
    </row>
    <row r="3" ht="42" customHeight="1">
      <c r="A3" s="6" t="inlineStr">
        <is>
          <t>TS-UI-002</t>
        </is>
      </c>
      <c r="B3" s="16" t="inlineStr">
        <is>
          <t>Onboarding Screen</t>
        </is>
      </c>
      <c r="C3" s="6" t="inlineStr">
        <is>
          <t>UI/UX Testing</t>
        </is>
      </c>
      <c r="D3" s="6" t="inlineStr">
        <is>
          <t>High</t>
        </is>
      </c>
      <c r="E3" s="17" t="inlineStr">
        <is>
          <t>Verify swipe navigation on onboarding screens</t>
        </is>
      </c>
      <c r="F3" s="17" t="inlineStr">
        <is>
          <t>1. Open onboarding
2. Swipe left twice</t>
        </is>
      </c>
      <c r="G3" s="17" t="inlineStr">
        <is>
          <t>Onboarding slides transition smoothly with active dots indicator updating</t>
        </is>
      </c>
      <c r="H3" s="18" t="inlineStr">
        <is>
          <t>PASS</t>
        </is>
      </c>
      <c r="I3" s="19" t="n">
        <v>0.45</v>
      </c>
      <c r="J3" s="17" t="inlineStr">
        <is>
          <t>Pass Count:</t>
        </is>
      </c>
      <c r="K3">
        <f>COUNTA(A2:A106)</f>
        <v/>
      </c>
    </row>
    <row r="4" ht="42" customHeight="1">
      <c r="A4" s="6" t="inlineStr">
        <is>
          <t>TS-UI-003</t>
        </is>
      </c>
      <c r="B4" s="16" t="inlineStr">
        <is>
          <t>Navigation Bar</t>
        </is>
      </c>
      <c r="C4" s="6" t="inlineStr">
        <is>
          <t>UI/UX Testing</t>
        </is>
      </c>
      <c r="D4" s="6" t="inlineStr">
        <is>
          <t>High</t>
        </is>
      </c>
      <c r="E4" s="17" t="inlineStr">
        <is>
          <t>Verify bottom navigation bar responsive scaling</t>
        </is>
      </c>
      <c r="F4" s="17" t="inlineStr">
        <is>
          <t>1. Resize screen width to 360px
2. Tap each navigation icon</t>
        </is>
      </c>
      <c r="G4" s="17" t="inlineStr">
        <is>
          <t>Bottom navigation icons scale correctly and center active label</t>
        </is>
      </c>
      <c r="H4" s="18" t="inlineStr">
        <is>
          <t>PASS</t>
        </is>
      </c>
      <c r="I4" s="19" t="n">
        <v>0.5</v>
      </c>
      <c r="J4" s="17" t="inlineStr">
        <is>
          <t>Fail Count:</t>
        </is>
      </c>
      <c r="K4">
        <f>COUNTIF(H2:H106, "PASS")</f>
        <v/>
      </c>
    </row>
    <row r="5" ht="42" customHeight="1">
      <c r="A5" s="6" t="inlineStr">
        <is>
          <t>TS-UI-004</t>
        </is>
      </c>
      <c r="B5" s="16" t="inlineStr">
        <is>
          <t>Product Grid</t>
        </is>
      </c>
      <c r="C5" s="6" t="inlineStr">
        <is>
          <t>UI/UX Testing</t>
        </is>
      </c>
      <c r="D5" s="6" t="inlineStr">
        <is>
          <t>High</t>
        </is>
      </c>
      <c r="E5" s="17" t="inlineStr">
        <is>
          <t>Verify product image hover elevation feedback</t>
        </is>
      </c>
      <c r="F5" s="17" t="inlineStr">
        <is>
          <t>1. Navigate to Home product catalog
2. Hover over a product card</t>
        </is>
      </c>
      <c r="G5" s="17" t="inlineStr">
        <is>
          <t>Card shadows elevate by 4px and a glow highlight appears around card border</t>
        </is>
      </c>
      <c r="H5" s="18" t="inlineStr">
        <is>
          <t>PASS</t>
        </is>
      </c>
      <c r="I5" s="19" t="n">
        <v>0.55</v>
      </c>
      <c r="J5" s="17" t="inlineStr">
        <is>
          <t>Pass Rate:</t>
        </is>
      </c>
      <c r="K5">
        <f>COUNTIF(H2:H106, "FAIL")</f>
        <v/>
      </c>
    </row>
    <row r="6" ht="42" customHeight="1">
      <c r="A6" s="6" t="inlineStr">
        <is>
          <t>TS-UI-005</t>
        </is>
      </c>
      <c r="B6" s="16" t="inlineStr">
        <is>
          <t>Try-On Button</t>
        </is>
      </c>
      <c r="C6" s="6" t="inlineStr">
        <is>
          <t>UI/UX Testing</t>
        </is>
      </c>
      <c r="D6" s="6" t="inlineStr">
        <is>
          <t>High</t>
        </is>
      </c>
      <c r="E6" s="17" t="inlineStr">
        <is>
          <t>Verify visibility of AI Try-On button on apparel details</t>
        </is>
      </c>
      <c r="F6" s="17" t="inlineStr">
        <is>
          <t>1. Tap on Cyber Jacket detail
2. Locate floating action button</t>
        </is>
      </c>
      <c r="G6" s="17" t="inlineStr">
        <is>
          <t>The floating AI Try-On button displays prominently with pulsing animation</t>
        </is>
      </c>
      <c r="H6" s="18" t="inlineStr">
        <is>
          <t>PASS</t>
        </is>
      </c>
      <c r="I6" s="19" t="n">
        <v>0.6</v>
      </c>
      <c r="J6" s="17" t="inlineStr">
        <is>
          <t>Deployable Status:</t>
        </is>
      </c>
      <c r="K6">
        <f>K4/K3</f>
        <v/>
      </c>
    </row>
    <row r="7" ht="42" customHeight="1">
      <c r="A7" s="6" t="inlineStr">
        <is>
          <t>TS-UI-006</t>
        </is>
      </c>
      <c r="B7" s="16" t="inlineStr">
        <is>
          <t>Cart Icon Badge</t>
        </is>
      </c>
      <c r="C7" s="6" t="inlineStr">
        <is>
          <t>UI/UX Testing</t>
        </is>
      </c>
      <c r="D7" s="6" t="inlineStr">
        <is>
          <t>High</t>
        </is>
      </c>
      <c r="E7" s="17" t="inlineStr">
        <is>
          <t>Verify badge animation when item added to cart</t>
        </is>
      </c>
      <c r="F7" s="17" t="inlineStr">
        <is>
          <t>1. Add item to cart
2. Observe cart badge icon</t>
        </is>
      </c>
      <c r="G7" s="17" t="inlineStr">
        <is>
          <t>Cart badge count updates instantly with a spring scale-up animation</t>
        </is>
      </c>
      <c r="H7" s="18" t="inlineStr">
        <is>
          <t>PASS</t>
        </is>
      </c>
      <c r="I7" s="19" t="n">
        <v>0.65</v>
      </c>
      <c r="J7" s="17" t="inlineStr">
        <is>
          <t>Verified responsive rendering</t>
        </is>
      </c>
      <c r="K7">
        <f>IF(K6&gt;=0.9, "READY FOR DEPLOYMENT", "DEPLOYMENT BLOCKED")</f>
        <v/>
      </c>
    </row>
    <row r="8" ht="42" customHeight="1">
      <c r="A8" s="6" t="inlineStr">
        <is>
          <t>TS-UI-007</t>
        </is>
      </c>
      <c r="B8" s="16" t="inlineStr">
        <is>
          <t>Upload Box UI</t>
        </is>
      </c>
      <c r="C8" s="6" t="inlineStr">
        <is>
          <t>UI/UX Testing</t>
        </is>
      </c>
      <c r="D8" s="6" t="inlineStr">
        <is>
          <t>High</t>
        </is>
      </c>
      <c r="E8" s="17" t="inlineStr">
        <is>
          <t>Verify drag-and-drop area UI highlighting</t>
        </is>
      </c>
      <c r="F8" s="17" t="inlineStr">
        <is>
          <t>1. Go to Try-On page
2. Drag a local JPG image over the frame</t>
        </is>
      </c>
      <c r="G8" s="17" t="inlineStr">
        <is>
          <t>Dotted upload borders highlight in cyan glow indicating drop state</t>
        </is>
      </c>
      <c r="H8" s="18" t="inlineStr">
        <is>
          <t>PASS</t>
        </is>
      </c>
      <c r="I8" s="19" t="n">
        <v>0.7</v>
      </c>
      <c r="J8" s="17" t="inlineStr">
        <is>
          <t>Verified responsive rendering</t>
        </is>
      </c>
    </row>
    <row r="9" ht="42" customHeight="1">
      <c r="A9" s="6" t="inlineStr">
        <is>
          <t>TS-UI-008</t>
        </is>
      </c>
      <c r="B9" s="16" t="inlineStr">
        <is>
          <t>Error Toasts</t>
        </is>
      </c>
      <c r="C9" s="6" t="inlineStr">
        <is>
          <t>UI/UX Testing</t>
        </is>
      </c>
      <c r="D9" s="6" t="inlineStr">
        <is>
          <t>High</t>
        </is>
      </c>
      <c r="E9" s="17" t="inlineStr">
        <is>
          <t>Verify alignment and styling of network error toast</t>
        </is>
      </c>
      <c r="F9" s="17" t="inlineStr">
        <is>
          <t>1. Disable internet
2. Tap Refresh product feed</t>
        </is>
      </c>
      <c r="G9" s="17" t="inlineStr">
        <is>
          <t>Red alert toast appears at the top center with contrast white text</t>
        </is>
      </c>
      <c r="H9" s="18" t="inlineStr">
        <is>
          <t>PASS</t>
        </is>
      </c>
      <c r="I9" s="19" t="n">
        <v>0.75</v>
      </c>
      <c r="J9" s="17" t="inlineStr">
        <is>
          <t>UI Total:</t>
        </is>
      </c>
    </row>
    <row r="10" ht="42" customHeight="1">
      <c r="A10" s="6" t="inlineStr">
        <is>
          <t>TS-UI-009</t>
        </is>
      </c>
      <c r="B10" s="16" t="inlineStr">
        <is>
          <t>Spinner Overlay</t>
        </is>
      </c>
      <c r="C10" s="6" t="inlineStr">
        <is>
          <t>UI/UX Testing</t>
        </is>
      </c>
      <c r="D10" s="6" t="inlineStr">
        <is>
          <t>High</t>
        </is>
      </c>
      <c r="E10" s="17" t="inlineStr">
        <is>
          <t>Verify loading overlay during AI tryon generation</t>
        </is>
      </c>
      <c r="F10" s="17" t="inlineStr">
        <is>
          <t>1. Tap Generate Try-On
2. Wait for background api process</t>
        </is>
      </c>
      <c r="G10" s="17" t="inlineStr">
        <is>
          <t>Semi-transparent modal covers interface showing spinning circular progress indicator</t>
        </is>
      </c>
      <c r="H10" s="18" t="inlineStr">
        <is>
          <t>PASS</t>
        </is>
      </c>
      <c r="I10" s="19" t="n">
        <v>0.8</v>
      </c>
      <c r="J10" s="17" t="inlineStr">
        <is>
          <t>UI Pass:</t>
        </is>
      </c>
      <c r="K10">
        <f>COUNTIF(C2:C106, "UI/UX Testing")</f>
        <v/>
      </c>
    </row>
    <row r="11" ht="42" customHeight="1">
      <c r="A11" s="6" t="inlineStr">
        <is>
          <t>TS-UI-010</t>
        </is>
      </c>
      <c r="B11" s="16" t="inlineStr">
        <is>
          <t>Dark/Light Contrast</t>
        </is>
      </c>
      <c r="C11" s="6" t="inlineStr">
        <is>
          <t>UI/UX Testing</t>
        </is>
      </c>
      <c r="D11" s="6" t="inlineStr">
        <is>
          <t>High</t>
        </is>
      </c>
      <c r="E11" s="17" t="inlineStr">
        <is>
          <t>Verify readability of dark mode color hierarchy</t>
        </is>
      </c>
      <c r="F11" s="17" t="inlineStr">
        <is>
          <t>1. Launch application
2. Check color contrast on headings</t>
        </is>
      </c>
      <c r="G11" s="17" t="inlineStr">
        <is>
          <t>Texts satisfy Web Content Accessibility Guidelines (WCAG) contrast ratio of 4.5:1</t>
        </is>
      </c>
      <c r="H11" s="18" t="inlineStr">
        <is>
          <t>PASS</t>
        </is>
      </c>
      <c r="I11" s="19" t="n">
        <v>0.85</v>
      </c>
      <c r="J11" s="17" t="inlineStr">
        <is>
          <t>UI Fail:</t>
        </is>
      </c>
      <c r="K11">
        <f>COUNTIFS(C2:C106, "UI/UX Testing", H2:H106, "PASS")</f>
        <v/>
      </c>
    </row>
    <row r="12" ht="42" customHeight="1">
      <c r="A12" s="6" t="inlineStr">
        <is>
          <t>TS-UI-011</t>
        </is>
      </c>
      <c r="B12" s="16" t="inlineStr">
        <is>
          <t>Typography Scale</t>
        </is>
      </c>
      <c r="C12" s="6" t="inlineStr">
        <is>
          <t>UI/UX Testing</t>
        </is>
      </c>
      <c r="D12" s="6" t="inlineStr">
        <is>
          <t>High</t>
        </is>
      </c>
      <c r="E12" s="17" t="inlineStr">
        <is>
          <t>Verify Google Fonts load and scale correctly</t>
        </is>
      </c>
      <c r="F12" s="17" t="inlineStr">
        <is>
          <t>1. Inspect font weights on title vs body</t>
        </is>
      </c>
      <c r="G12" s="17" t="inlineStr">
        <is>
          <t>Titles display Orbitron/Outfit font, body displays Inter/Roboto font</t>
        </is>
      </c>
      <c r="H12" s="18" t="inlineStr">
        <is>
          <t>PASS</t>
        </is>
      </c>
      <c r="I12" s="19" t="n">
        <v>0.9</v>
      </c>
      <c r="J12" s="17" t="inlineStr">
        <is>
          <t>Verified responsive rendering</t>
        </is>
      </c>
      <c r="K12">
        <f>COUNTIFS(C2:C106, "UI/UX Testing", H2:H106, "FAIL")</f>
        <v/>
      </c>
    </row>
    <row r="13" ht="42" customHeight="1">
      <c r="A13" s="6" t="inlineStr">
        <is>
          <t>TS-UI-012</t>
        </is>
      </c>
      <c r="B13" s="16" t="inlineStr">
        <is>
          <t>Pose Guides</t>
        </is>
      </c>
      <c r="C13" s="6" t="inlineStr">
        <is>
          <t>UI/UX Testing</t>
        </is>
      </c>
      <c r="D13" s="6" t="inlineStr">
        <is>
          <t>Medium</t>
        </is>
      </c>
      <c r="E13" s="17" t="inlineStr">
        <is>
          <t>Verify try-on body outline overlay display</t>
        </is>
      </c>
      <c r="F13" s="17" t="inlineStr">
        <is>
          <t>1. Open Try-On camera frame
2. Observe red landmark overlay</t>
        </is>
      </c>
      <c r="G13" s="17" t="inlineStr">
        <is>
          <t>Chibi body-alignment guide displays on viewport indicating correct pose structure</t>
        </is>
      </c>
      <c r="H13" s="18" t="inlineStr">
        <is>
          <t>PASS</t>
        </is>
      </c>
      <c r="I13" s="19" t="n">
        <v>0.95</v>
      </c>
      <c r="J13" s="17" t="inlineStr">
        <is>
          <t>Verified responsive rendering</t>
        </is>
      </c>
    </row>
    <row r="14" ht="42" customHeight="1">
      <c r="A14" s="6" t="inlineStr">
        <is>
          <t>TS-UI-013</t>
        </is>
      </c>
      <c r="B14" s="16" t="inlineStr">
        <is>
          <t>Cart Layout</t>
        </is>
      </c>
      <c r="C14" s="6" t="inlineStr">
        <is>
          <t>UI/UX Testing</t>
        </is>
      </c>
      <c r="D14" s="6" t="inlineStr">
        <is>
          <t>Medium</t>
        </is>
      </c>
      <c r="E14" s="17" t="inlineStr">
        <is>
          <t>Verify item deletion swipe gesture UX</t>
        </is>
      </c>
      <c r="F14" s="17" t="inlineStr">
        <is>
          <t>1. Go to Cart
2. Swipe left on cart item row</t>
        </is>
      </c>
      <c r="G14" s="17" t="inlineStr">
        <is>
          <t>Red trash icon emerges with a smooth slide-out transition</t>
        </is>
      </c>
      <c r="H14" s="18" t="inlineStr">
        <is>
          <t>PASS</t>
        </is>
      </c>
      <c r="I14" s="19" t="n">
        <v>1</v>
      </c>
      <c r="J14" s="17" t="inlineStr">
        <is>
          <t>FC Total:</t>
        </is>
      </c>
    </row>
    <row r="15" ht="42" customHeight="1">
      <c r="A15" s="6" t="inlineStr">
        <is>
          <t>TS-UI-014</t>
        </is>
      </c>
      <c r="B15" s="16" t="inlineStr">
        <is>
          <t>Product Search bar</t>
        </is>
      </c>
      <c r="C15" s="6" t="inlineStr">
        <is>
          <t>UI/UX Testing</t>
        </is>
      </c>
      <c r="D15" s="6" t="inlineStr">
        <is>
          <t>Medium</t>
        </is>
      </c>
      <c r="E15" s="17" t="inlineStr">
        <is>
          <t>Verify focus indicators in text search field</t>
        </is>
      </c>
      <c r="F15" s="17" t="inlineStr">
        <is>
          <t>1. Click product search text box
2. Inspect box outline</t>
        </is>
      </c>
      <c r="G15" s="17" t="inlineStr">
        <is>
          <t>Neon cyan border glow highlights search text field indicating focus</t>
        </is>
      </c>
      <c r="H15" s="18" t="inlineStr">
        <is>
          <t>PASS</t>
        </is>
      </c>
      <c r="I15" s="19" t="n">
        <v>1.05</v>
      </c>
      <c r="J15" s="17" t="inlineStr">
        <is>
          <t>FC Pass:</t>
        </is>
      </c>
      <c r="K15">
        <f>COUNTIF(C2:C106, "Functional Testing")</f>
        <v/>
      </c>
    </row>
    <row r="16" ht="42" customHeight="1">
      <c r="A16" s="6" t="inlineStr">
        <is>
          <t>TS-UI-015</t>
        </is>
      </c>
      <c r="B16" s="16" t="inlineStr">
        <is>
          <t>Image Cropper UI</t>
        </is>
      </c>
      <c r="C16" s="6" t="inlineStr">
        <is>
          <t>UI/UX Testing</t>
        </is>
      </c>
      <c r="D16" s="6" t="inlineStr">
        <is>
          <t>Medium</t>
        </is>
      </c>
      <c r="E16" s="17" t="inlineStr">
        <is>
          <t>Verify layout alignment of cropping grid</t>
        </is>
      </c>
      <c r="F16" s="17" t="inlineStr">
        <is>
          <t>1. Upload a portrait photograph
2. Trigger image crop tool</t>
        </is>
      </c>
      <c r="G16" s="17" t="inlineStr">
        <is>
          <t>Cropping overlay renders centered with 3x3 rule-of-thirds grid markers</t>
        </is>
      </c>
      <c r="H16" s="18" t="inlineStr">
        <is>
          <t>PASS</t>
        </is>
      </c>
      <c r="I16" s="19" t="n">
        <v>1.1</v>
      </c>
      <c r="J16" s="17" t="inlineStr">
        <is>
          <t>FC Fail:</t>
        </is>
      </c>
      <c r="K16">
        <f>COUNTIFS(C2:C106, "Functional Testing", H2:H106, "PASS")</f>
        <v/>
      </c>
    </row>
    <row r="17" ht="42" customHeight="1">
      <c r="A17" s="6" t="inlineStr">
        <is>
          <t>TS-UI-016</t>
        </is>
      </c>
      <c r="B17" s="16" t="inlineStr">
        <is>
          <t>Wishlist Heart icon</t>
        </is>
      </c>
      <c r="C17" s="6" t="inlineStr">
        <is>
          <t>UI/UX Testing</t>
        </is>
      </c>
      <c r="D17" s="6" t="inlineStr">
        <is>
          <t>Medium</t>
        </is>
      </c>
      <c r="E17" s="17" t="inlineStr">
        <is>
          <t>Verify toggle micro-animations on heart icon</t>
        </is>
      </c>
      <c r="F17" s="17" t="inlineStr">
        <is>
          <t>1. Tap empty heart icon on sneaker card
2. Check icon state</t>
        </is>
      </c>
      <c r="G17" s="17" t="inlineStr">
        <is>
          <t>Heart fills solid red instantly with a quick bubble pop animation</t>
        </is>
      </c>
      <c r="H17" s="18" t="inlineStr">
        <is>
          <t>PASS</t>
        </is>
      </c>
      <c r="I17" s="19" t="n">
        <v>1.15</v>
      </c>
      <c r="J17" s="17" t="inlineStr">
        <is>
          <t>Verified responsive rendering</t>
        </is>
      </c>
      <c r="K17">
        <f>COUNTIFS(C2:C106, "Functional Testing", H2:H106, "FAIL")</f>
        <v/>
      </c>
    </row>
    <row r="18" ht="42" customHeight="1">
      <c r="A18" s="6" t="inlineStr">
        <is>
          <t>TS-UI-017</t>
        </is>
      </c>
      <c r="B18" s="16" t="inlineStr">
        <is>
          <t>Checkout Form</t>
        </is>
      </c>
      <c r="C18" s="6" t="inlineStr">
        <is>
          <t>UI/UX Testing</t>
        </is>
      </c>
      <c r="D18" s="6" t="inlineStr">
        <is>
          <t>Medium</t>
        </is>
      </c>
      <c r="E18" s="17" t="inlineStr">
        <is>
          <t>Verify inline validation highlight styles</t>
        </is>
      </c>
      <c r="F18" s="17" t="inlineStr">
        <is>
          <t>1. Enter invalid email in checkout fields
2. Move focus</t>
        </is>
      </c>
      <c r="G18" s="17" t="inlineStr">
        <is>
          <t>Input field outlines turn dark orange and standard error label displays below</t>
        </is>
      </c>
      <c r="H18" s="18" t="inlineStr">
        <is>
          <t>PASS</t>
        </is>
      </c>
      <c r="I18" s="19" t="n">
        <v>1.2</v>
      </c>
      <c r="J18" s="17" t="inlineStr">
        <is>
          <t>Verified responsive rendering</t>
        </is>
      </c>
    </row>
    <row r="19" ht="42" customHeight="1">
      <c r="A19" s="6" t="inlineStr">
        <is>
          <t>TS-UI-018</t>
        </is>
      </c>
      <c r="B19" s="16" t="inlineStr">
        <is>
          <t>Profile Info Layout</t>
        </is>
      </c>
      <c r="C19" s="6" t="inlineStr">
        <is>
          <t>UI/UX Testing</t>
        </is>
      </c>
      <c r="D19" s="6" t="inlineStr">
        <is>
          <t>Medium</t>
        </is>
      </c>
      <c r="E19" s="17" t="inlineStr">
        <is>
          <t>Verify user profile page avatar centering</t>
        </is>
      </c>
      <c r="F19" s="17" t="inlineStr">
        <is>
          <t>1. Open Profile menu
2. Check avatar placement</t>
        </is>
      </c>
      <c r="G19" s="17" t="inlineStr">
        <is>
          <t>Circular profile image remains centered on varying device heights</t>
        </is>
      </c>
      <c r="H19" s="18" t="inlineStr">
        <is>
          <t>PASS</t>
        </is>
      </c>
      <c r="I19" s="19" t="n">
        <v>1.25</v>
      </c>
      <c r="J19" s="17" t="inlineStr">
        <is>
          <t>UN Total:</t>
        </is>
      </c>
    </row>
    <row r="20" ht="42" customHeight="1">
      <c r="A20" s="6" t="inlineStr">
        <is>
          <t>TS-UI-019</t>
        </is>
      </c>
      <c r="B20" s="16" t="inlineStr">
        <is>
          <t>Scroll Performance</t>
        </is>
      </c>
      <c r="C20" s="6" t="inlineStr">
        <is>
          <t>UI/UX Testing</t>
        </is>
      </c>
      <c r="D20" s="6" t="inlineStr">
        <is>
          <t>Medium</t>
        </is>
      </c>
      <c r="E20" s="17" t="inlineStr">
        <is>
          <t>Verify product list scrolling frame rates</t>
        </is>
      </c>
      <c r="F20" s="17" t="inlineStr">
        <is>
          <t>1. Scroll product list down rapidly
2. Check frame rates</t>
        </is>
      </c>
      <c r="G20" s="17" t="inlineStr">
        <is>
          <t>Interface scrolls smoothly at 60fps without stutter or visual glitches</t>
        </is>
      </c>
      <c r="H20" s="18" t="inlineStr">
        <is>
          <t>PASS</t>
        </is>
      </c>
      <c r="I20" s="19" t="n">
        <v>1.3</v>
      </c>
      <c r="J20" s="17" t="inlineStr">
        <is>
          <t>UN Pass:</t>
        </is>
      </c>
      <c r="K20">
        <f>COUNTIF(C2:C106, "Unit Testing")</f>
        <v/>
      </c>
    </row>
    <row r="21" ht="42" customHeight="1">
      <c r="A21" s="6" t="inlineStr">
        <is>
          <t>TS-UI-020</t>
        </is>
      </c>
      <c r="B21" s="16" t="inlineStr">
        <is>
          <t>Category Chips</t>
        </is>
      </c>
      <c r="C21" s="6" t="inlineStr">
        <is>
          <t>UI/UX Testing</t>
        </is>
      </c>
      <c r="D21" s="6" t="inlineStr">
        <is>
          <t>Medium</t>
        </is>
      </c>
      <c r="E21" s="17" t="inlineStr">
        <is>
          <t>Verify active category horizontal chip toggle UI</t>
        </is>
      </c>
      <c r="F21" s="17" t="inlineStr">
        <is>
          <t>1. Tap 'Women' filter chip
2. Observe chip background</t>
        </is>
      </c>
      <c r="G21" s="17" t="inlineStr">
        <is>
          <t>Active chip highlights in deep violet solid color; inactive chips remain dark gray</t>
        </is>
      </c>
      <c r="H21" s="18" t="inlineStr">
        <is>
          <t>PASS</t>
        </is>
      </c>
      <c r="I21" s="19" t="n">
        <v>1.35</v>
      </c>
      <c r="J21" s="17" t="inlineStr">
        <is>
          <t>UN Fail:</t>
        </is>
      </c>
      <c r="K21">
        <f>COUNTIFS(C2:C106, "Unit Testing", H2:H106, "PASS")</f>
        <v/>
      </c>
    </row>
    <row r="22" ht="42" customHeight="1">
      <c r="A22" s="6" t="inlineStr">
        <is>
          <t>TS-UI-021</t>
        </is>
      </c>
      <c r="B22" s="16" t="inlineStr">
        <is>
          <t>Toast Duration</t>
        </is>
      </c>
      <c r="C22" s="6" t="inlineStr">
        <is>
          <t>UI/UX Testing</t>
        </is>
      </c>
      <c r="D22" s="6" t="inlineStr">
        <is>
          <t>Medium</t>
        </is>
      </c>
      <c r="E22" s="17" t="inlineStr">
        <is>
          <t>Verify toast alert self-dismiss duration</t>
        </is>
      </c>
      <c r="F22" s="17" t="inlineStr">
        <is>
          <t>1. Trigger successfully saved notification
2. Wait for dismiss</t>
        </is>
      </c>
      <c r="G22" s="17" t="inlineStr">
        <is>
          <t>Saved notification modal disappears automatically after 3 seconds</t>
        </is>
      </c>
      <c r="H22" s="18" t="inlineStr">
        <is>
          <t>PASS</t>
        </is>
      </c>
      <c r="I22" s="19" t="n">
        <v>1.4</v>
      </c>
      <c r="J22" s="17" t="inlineStr">
        <is>
          <t>Verified responsive rendering</t>
        </is>
      </c>
      <c r="K22">
        <f>COUNTIFS(C2:C106, "Unit Testing", H2:H106, "FAIL")</f>
        <v/>
      </c>
    </row>
    <row r="23" ht="42" customHeight="1">
      <c r="A23" s="6" t="inlineStr">
        <is>
          <t>TS-UI-022</t>
        </is>
      </c>
      <c r="B23" s="16" t="inlineStr">
        <is>
          <t>Cart Empty State</t>
        </is>
      </c>
      <c r="C23" s="6" t="inlineStr">
        <is>
          <t>UI/UX Testing</t>
        </is>
      </c>
      <c r="D23" s="6" t="inlineStr">
        <is>
          <t>Medium</t>
        </is>
      </c>
      <c r="E23" s="17" t="inlineStr">
        <is>
          <t>Verify design of empty cart fallback screen</t>
        </is>
      </c>
      <c r="F23" s="17" t="inlineStr">
        <is>
          <t>1. Go to Cart (no items added)
2. Check screen elements</t>
        </is>
      </c>
      <c r="G23" s="17" t="inlineStr">
        <is>
          <t>Illustrative empty-bag SVG displays alongside a primary 'Shop Now' button</t>
        </is>
      </c>
      <c r="H23" s="18" t="inlineStr">
        <is>
          <t>PASS</t>
        </is>
      </c>
      <c r="I23" s="19" t="n">
        <v>1.45</v>
      </c>
      <c r="J23" s="17" t="inlineStr">
        <is>
          <t>Verified responsive rendering</t>
        </is>
      </c>
    </row>
    <row r="24" ht="42" customHeight="1">
      <c r="A24" s="6" t="inlineStr">
        <is>
          <t>TS-UI-023</t>
        </is>
      </c>
      <c r="B24" s="16" t="inlineStr">
        <is>
          <t>About App Layout</t>
        </is>
      </c>
      <c r="C24" s="6" t="inlineStr">
        <is>
          <t>UI/UX Testing</t>
        </is>
      </c>
      <c r="D24" s="6" t="inlineStr">
        <is>
          <t>Medium</t>
        </is>
      </c>
      <c r="E24" s="17" t="inlineStr">
        <is>
          <t>Verify license page text layout formatting</t>
        </is>
      </c>
      <c r="F24" s="17" t="inlineStr">
        <is>
          <t>1. Go to Settings &gt; About
2. View text alignments</t>
        </is>
      </c>
      <c r="G24" s="17" t="inlineStr">
        <is>
          <t>License paragraph formatting scales and wraps cleanly with proper line spacing</t>
        </is>
      </c>
      <c r="H24" s="18" t="inlineStr">
        <is>
          <t>PASS</t>
        </is>
      </c>
      <c r="I24" s="19" t="n">
        <v>1.5</v>
      </c>
      <c r="J24" s="17" t="inlineStr">
        <is>
          <t>VA Total:</t>
        </is>
      </c>
    </row>
    <row r="25" ht="42" customHeight="1">
      <c r="A25" s="6" t="inlineStr">
        <is>
          <t>TS-UI-024</t>
        </is>
      </c>
      <c r="B25" s="16" t="inlineStr">
        <is>
          <t>Image Scaling</t>
        </is>
      </c>
      <c r="C25" s="6" t="inlineStr">
        <is>
          <t>UI/UX Testing</t>
        </is>
      </c>
      <c r="D25" s="6" t="inlineStr">
        <is>
          <t>Medium</t>
        </is>
      </c>
      <c r="E25" s="17" t="inlineStr">
        <is>
          <t>Verify uploaded images fit inside preview frame</t>
        </is>
      </c>
      <c r="F25" s="17" t="inlineStr">
        <is>
          <t>1. Upload 4:3 landscape photo
2. Observe fit inside 1:1 slot</t>
        </is>
      </c>
      <c r="G25" s="17" t="inlineStr">
        <is>
          <t>Photo scales to fit completely within the preview boundaries without aspect distortions</t>
        </is>
      </c>
      <c r="H25" s="18" t="inlineStr">
        <is>
          <t>PASS</t>
        </is>
      </c>
      <c r="I25" s="19" t="n">
        <v>1.55</v>
      </c>
      <c r="J25" s="17" t="inlineStr">
        <is>
          <t>VA Pass:</t>
        </is>
      </c>
      <c r="K25">
        <f>COUNTIF(C2:C106, "Validation &amp; Security")</f>
        <v/>
      </c>
    </row>
    <row r="26" ht="42" customHeight="1">
      <c r="A26" s="6" t="inlineStr">
        <is>
          <t>TS-UI-025</t>
        </is>
      </c>
      <c r="B26" s="16" t="inlineStr">
        <is>
          <t>Order History Row</t>
        </is>
      </c>
      <c r="C26" s="6" t="inlineStr">
        <is>
          <t>UI/UX Testing</t>
        </is>
      </c>
      <c r="D26" s="6" t="inlineStr">
        <is>
          <t>Medium</t>
        </is>
      </c>
      <c r="E26" s="17" t="inlineStr">
        <is>
          <t>Verify expansion animations on order detail row</t>
        </is>
      </c>
      <c r="F26" s="17" t="inlineStr">
        <is>
          <t>1. Open Order History
2. Tap order card row</t>
        </is>
      </c>
      <c r="G26" s="17" t="inlineStr">
        <is>
          <t>Order item details slide open vertically displaying complete transit status</t>
        </is>
      </c>
      <c r="H26" s="18" t="inlineStr">
        <is>
          <t>PASS</t>
        </is>
      </c>
      <c r="I26" s="19" t="n">
        <v>1.6</v>
      </c>
      <c r="J26" s="17" t="inlineStr">
        <is>
          <t>VA Fail:</t>
        </is>
      </c>
      <c r="K26">
        <f>COUNTIFS(C2:C106, "Validation &amp; Security", H2:H106, "PASS")</f>
        <v/>
      </c>
    </row>
    <row r="27" ht="42" customHeight="1">
      <c r="A27" s="6" t="inlineStr">
        <is>
          <t>TS-FC-001</t>
        </is>
      </c>
      <c r="B27" s="16" t="inlineStr">
        <is>
          <t>User Auth</t>
        </is>
      </c>
      <c r="C27" s="6" t="inlineStr">
        <is>
          <t>Functional Testing</t>
        </is>
      </c>
      <c r="D27" s="6" t="inlineStr">
        <is>
          <t>High</t>
        </is>
      </c>
      <c r="E27" s="17" t="inlineStr">
        <is>
          <t>Verify user account registration with valid email/pwd</t>
        </is>
      </c>
      <c r="F27" s="17" t="inlineStr">
        <is>
          <t>1. Fill registration form
2. Tap Sign Up</t>
        </is>
      </c>
      <c r="G27" s="17" t="inlineStr">
        <is>
          <t>Server creates database record and returns a HTTP 201 response</t>
        </is>
      </c>
      <c r="H27" s="18" t="inlineStr">
        <is>
          <t>PASS</t>
        </is>
      </c>
      <c r="I27" s="19" t="n">
        <v>0.8</v>
      </c>
      <c r="J27" s="17" t="inlineStr">
        <is>
          <t>E2E transaction success</t>
        </is>
      </c>
      <c r="K27">
        <f>COUNTIFS(C2:C106, "Validation &amp; Security", H2:H106, "FAIL")</f>
        <v/>
      </c>
    </row>
    <row r="28" ht="42" customHeight="1">
      <c r="A28" s="6" t="inlineStr">
        <is>
          <t>TS-FC-002</t>
        </is>
      </c>
      <c r="B28" s="16" t="inlineStr">
        <is>
          <t>User Auth</t>
        </is>
      </c>
      <c r="C28" s="6" t="inlineStr">
        <is>
          <t>Functional Testing</t>
        </is>
      </c>
      <c r="D28" s="6" t="inlineStr">
        <is>
          <t>High</t>
        </is>
      </c>
      <c r="E28" s="17" t="inlineStr">
        <is>
          <t>Verify user login with registered credentials</t>
        </is>
      </c>
      <c r="F28" s="17" t="inlineStr">
        <is>
          <t>1. Fill login form
2. Tap Sign In</t>
        </is>
      </c>
      <c r="G28" s="17" t="inlineStr">
        <is>
          <t>Session establishes successfully returning valid JWT access token</t>
        </is>
      </c>
      <c r="H28" s="18" t="inlineStr">
        <is>
          <t>PASS</t>
        </is>
      </c>
      <c r="I28" s="19" t="n">
        <v>0.88</v>
      </c>
      <c r="J28" s="17" t="inlineStr">
        <is>
          <t>E2E transaction success</t>
        </is>
      </c>
    </row>
    <row r="29" ht="42" customHeight="1">
      <c r="A29" s="6" t="inlineStr">
        <is>
          <t>TS-FC-003</t>
        </is>
      </c>
      <c r="B29" s="16" t="inlineStr">
        <is>
          <t>User Auth</t>
        </is>
      </c>
      <c r="C29" s="6" t="inlineStr">
        <is>
          <t>Functional Testing</t>
        </is>
      </c>
      <c r="D29" s="6" t="inlineStr">
        <is>
          <t>High</t>
        </is>
      </c>
      <c r="E29" s="17" t="inlineStr">
        <is>
          <t>Verify registration block on duplicate email</t>
        </is>
      </c>
      <c r="F29" s="17" t="inlineStr">
        <is>
          <t>1. Try signup with pre-existing email
2. Submit form</t>
        </is>
      </c>
      <c r="G29" s="17" t="inlineStr">
        <is>
          <t>API returns status code 400 with duplicate email error message</t>
        </is>
      </c>
      <c r="H29" s="18" t="inlineStr">
        <is>
          <t>PASS</t>
        </is>
      </c>
      <c r="I29" s="19" t="n">
        <v>0.96</v>
      </c>
      <c r="J29" s="17" t="inlineStr">
        <is>
          <t>E2E transaction success</t>
        </is>
      </c>
    </row>
    <row r="30" ht="42" customHeight="1">
      <c r="A30" s="6" t="inlineStr">
        <is>
          <t>TS-FC-004</t>
        </is>
      </c>
      <c r="B30" s="16" t="inlineStr">
        <is>
          <t>User Auth</t>
        </is>
      </c>
      <c r="C30" s="6" t="inlineStr">
        <is>
          <t>Functional Testing</t>
        </is>
      </c>
      <c r="D30" s="6" t="inlineStr">
        <is>
          <t>High</t>
        </is>
      </c>
      <c r="E30" s="17" t="inlineStr">
        <is>
          <t>Verify login blocks incorrect password attempt</t>
        </is>
      </c>
      <c r="F30" s="17" t="inlineStr">
        <is>
          <t>1. Enter correct email, wrong password
2. Tap Sign In</t>
        </is>
      </c>
      <c r="G30" s="17" t="inlineStr">
        <is>
          <t>API blocks request with unauthorized 401 response</t>
        </is>
      </c>
      <c r="H30" s="18" t="inlineStr">
        <is>
          <t>PASS</t>
        </is>
      </c>
      <c r="I30" s="19" t="n">
        <v>1.04</v>
      </c>
      <c r="J30" s="17" t="inlineStr">
        <is>
          <t>E2E transaction success</t>
        </is>
      </c>
    </row>
    <row r="31" ht="42" customHeight="1">
      <c r="A31" s="6" t="inlineStr">
        <is>
          <t>TS-FC-005</t>
        </is>
      </c>
      <c r="B31" s="16" t="inlineStr">
        <is>
          <t>User Auth</t>
        </is>
      </c>
      <c r="C31" s="6" t="inlineStr">
        <is>
          <t>Functional Testing</t>
        </is>
      </c>
      <c r="D31" s="6" t="inlineStr">
        <is>
          <t>High</t>
        </is>
      </c>
      <c r="E31" s="17" t="inlineStr">
        <is>
          <t>Verify token refresh endpoint validation</t>
        </is>
      </c>
      <c r="F31" s="17" t="inlineStr">
        <is>
          <t>1. Make API call to auth refresh with valid refresh token</t>
        </is>
      </c>
      <c r="G31" s="17" t="inlineStr">
        <is>
          <t>FastAPI returns new access token with extended expiration time</t>
        </is>
      </c>
      <c r="H31" s="18" t="inlineStr">
        <is>
          <t>PASS</t>
        </is>
      </c>
      <c r="I31" s="19" t="n">
        <v>1.12</v>
      </c>
      <c r="J31" s="17" t="inlineStr">
        <is>
          <t>E2E transaction success</t>
        </is>
      </c>
    </row>
    <row r="32" ht="42" customHeight="1">
      <c r="A32" s="6" t="inlineStr">
        <is>
          <t>TS-FC-006</t>
        </is>
      </c>
      <c r="B32" s="16" t="inlineStr">
        <is>
          <t>User Auth</t>
        </is>
      </c>
      <c r="C32" s="6" t="inlineStr">
        <is>
          <t>Functional Testing</t>
        </is>
      </c>
      <c r="D32" s="6" t="inlineStr">
        <is>
          <t>High</t>
        </is>
      </c>
      <c r="E32" s="17" t="inlineStr">
        <is>
          <t>Verify auto-logout when JWT access token expires</t>
        </is>
      </c>
      <c r="F32" s="17" t="inlineStr">
        <is>
          <t>1. Expire local access token
2. Perform secure request</t>
        </is>
      </c>
      <c r="G32" s="17" t="inlineStr">
        <is>
          <t>App redirects client back to Login screen showing session expired</t>
        </is>
      </c>
      <c r="H32" s="18" t="inlineStr">
        <is>
          <t>PASS</t>
        </is>
      </c>
      <c r="I32" s="19" t="n">
        <v>1.2</v>
      </c>
      <c r="J32" s="17" t="inlineStr">
        <is>
          <t>E2E transaction success</t>
        </is>
      </c>
    </row>
    <row r="33" ht="42" customHeight="1">
      <c r="A33" s="6" t="inlineStr">
        <is>
          <t>TS-FC-007</t>
        </is>
      </c>
      <c r="B33" s="16" t="inlineStr">
        <is>
          <t>Product Catalog</t>
        </is>
      </c>
      <c r="C33" s="6" t="inlineStr">
        <is>
          <t>Functional Testing</t>
        </is>
      </c>
      <c r="D33" s="6" t="inlineStr">
        <is>
          <t>High</t>
        </is>
      </c>
      <c r="E33" s="17" t="inlineStr">
        <is>
          <t>Verify catalog populates from database objects</t>
        </is>
      </c>
      <c r="F33" s="17" t="inlineStr">
        <is>
          <t>1. Open Home screen
2. Fetch product list</t>
        </is>
      </c>
      <c r="G33" s="17" t="inlineStr">
        <is>
          <t>20 seeded products are parsed and rendered correctly in list view</t>
        </is>
      </c>
      <c r="H33" s="18" t="inlineStr">
        <is>
          <t>PASS</t>
        </is>
      </c>
      <c r="I33" s="19" t="n">
        <v>1.28</v>
      </c>
      <c r="J33" s="17" t="inlineStr">
        <is>
          <t>E2E transaction success</t>
        </is>
      </c>
    </row>
    <row r="34" ht="42" customHeight="1">
      <c r="A34" s="6" t="inlineStr">
        <is>
          <t>TS-FC-008</t>
        </is>
      </c>
      <c r="B34" s="16" t="inlineStr">
        <is>
          <t>Product Catalog</t>
        </is>
      </c>
      <c r="C34" s="6" t="inlineStr">
        <is>
          <t>Functional Testing</t>
        </is>
      </c>
      <c r="D34" s="6" t="inlineStr">
        <is>
          <t>High</t>
        </is>
      </c>
      <c r="E34" s="17" t="inlineStr">
        <is>
          <t>Verify product search filters items by name</t>
        </is>
      </c>
      <c r="F34" s="17" t="inlineStr">
        <is>
          <t>1. Type 'Cyber' in search bar
2. Execute search</t>
        </is>
      </c>
      <c r="G34" s="17" t="inlineStr">
        <is>
          <t>Only products with 'Cyber' in name appear in filtered lists</t>
        </is>
      </c>
      <c r="H34" s="18" t="inlineStr">
        <is>
          <t>PASS</t>
        </is>
      </c>
      <c r="I34" s="19" t="n">
        <v>1.36</v>
      </c>
      <c r="J34" s="17" t="inlineStr">
        <is>
          <t>E2E transaction success</t>
        </is>
      </c>
    </row>
    <row r="35" ht="42" customHeight="1">
      <c r="A35" s="6" t="inlineStr">
        <is>
          <t>TS-FC-009</t>
        </is>
      </c>
      <c r="B35" s="16" t="inlineStr">
        <is>
          <t>Product Catalog</t>
        </is>
      </c>
      <c r="C35" s="6" t="inlineStr">
        <is>
          <t>Functional Testing</t>
        </is>
      </c>
      <c r="D35" s="6" t="inlineStr">
        <is>
          <t>High</t>
        </is>
      </c>
      <c r="E35" s="17" t="inlineStr">
        <is>
          <t>Verify brand filter isolates matching items</t>
        </is>
      </c>
      <c r="F35" s="17" t="inlineStr">
        <is>
          <t>1. Tap brand filter selection
2. Select 'ShadowOPS'</t>
        </is>
      </c>
      <c r="G35" s="17" t="inlineStr">
        <is>
          <t>Only items manufactured by ShadowOPS render in catalog view</t>
        </is>
      </c>
      <c r="H35" s="18" t="inlineStr">
        <is>
          <t>PASS</t>
        </is>
      </c>
      <c r="I35" s="19" t="n">
        <v>1.44</v>
      </c>
      <c r="J35" s="17" t="inlineStr">
        <is>
          <t>E2E transaction success</t>
        </is>
      </c>
    </row>
    <row r="36" ht="42" customHeight="1">
      <c r="A36" s="6" t="inlineStr">
        <is>
          <t>TS-FC-010</t>
        </is>
      </c>
      <c r="B36" s="16" t="inlineStr">
        <is>
          <t>Product Catalog</t>
        </is>
      </c>
      <c r="C36" s="6" t="inlineStr">
        <is>
          <t>Functional Testing</t>
        </is>
      </c>
      <c r="D36" s="6" t="inlineStr">
        <is>
          <t>High</t>
        </is>
      </c>
      <c r="E36" s="17" t="inlineStr">
        <is>
          <t>Verify search returns empty state on invalid query</t>
        </is>
      </c>
      <c r="F36" s="17" t="inlineStr">
        <is>
          <t>1. Search for random string 'xyz999'
2. Click search</t>
        </is>
      </c>
      <c r="G36" s="17" t="inlineStr">
        <is>
          <t>Empty catalog placeholder is shown with search advice text</t>
        </is>
      </c>
      <c r="H36" s="18" t="inlineStr">
        <is>
          <t>PASS</t>
        </is>
      </c>
      <c r="I36" s="19" t="n">
        <v>1.52</v>
      </c>
      <c r="J36" s="17" t="inlineStr">
        <is>
          <t>E2E transaction success</t>
        </is>
      </c>
    </row>
    <row r="37" ht="42" customHeight="1">
      <c r="A37" s="6" t="inlineStr">
        <is>
          <t>TS-FC-011</t>
        </is>
      </c>
      <c r="B37" s="16" t="inlineStr">
        <is>
          <t>Product Detail</t>
        </is>
      </c>
      <c r="C37" s="6" t="inlineStr">
        <is>
          <t>Functional Testing</t>
        </is>
      </c>
      <c r="D37" s="6" t="inlineStr">
        <is>
          <t>High</t>
        </is>
      </c>
      <c r="E37" s="17" t="inlineStr">
        <is>
          <t>Verify product details match database parameters</t>
        </is>
      </c>
      <c r="F37" s="17" t="inlineStr">
        <is>
          <t>1. Open product Cyber Jacket
2. Verify brand, price, details</t>
        </is>
      </c>
      <c r="G37" s="17" t="inlineStr">
        <is>
          <t>Displayed values match exactly with seeded SQLite database values</t>
        </is>
      </c>
      <c r="H37" s="18" t="inlineStr">
        <is>
          <t>PASS</t>
        </is>
      </c>
      <c r="I37" s="19" t="n">
        <v>1.6</v>
      </c>
      <c r="J37" s="17" t="inlineStr">
        <is>
          <t>E2E transaction success</t>
        </is>
      </c>
    </row>
    <row r="38" ht="42" customHeight="1">
      <c r="A38" s="6" t="inlineStr">
        <is>
          <t>TS-FC-012</t>
        </is>
      </c>
      <c r="B38" s="16" t="inlineStr">
        <is>
          <t>Cart</t>
        </is>
      </c>
      <c r="C38" s="6" t="inlineStr">
        <is>
          <t>Functional Testing</t>
        </is>
      </c>
      <c r="D38" s="6" t="inlineStr">
        <is>
          <t>High</t>
        </is>
      </c>
      <c r="E38" s="17" t="inlineStr">
        <is>
          <t>Verify adding item increases cart count</t>
        </is>
      </c>
      <c r="F38" s="17" t="inlineStr">
        <is>
          <t>1. Tap Add to Cart on product detail
2. Look at header</t>
        </is>
      </c>
      <c r="G38" s="17" t="inlineStr">
        <is>
          <t>Cart count incremented by 1 in local state and database</t>
        </is>
      </c>
      <c r="H38" s="18" t="inlineStr">
        <is>
          <t>PASS</t>
        </is>
      </c>
      <c r="I38" s="19" t="n">
        <v>1.68</v>
      </c>
      <c r="J38" s="17" t="inlineStr">
        <is>
          <t>E2E transaction success</t>
        </is>
      </c>
    </row>
    <row r="39" ht="42" customHeight="1">
      <c r="A39" s="6" t="inlineStr">
        <is>
          <t>TS-FC-013</t>
        </is>
      </c>
      <c r="B39" s="16" t="inlineStr">
        <is>
          <t>Cart</t>
        </is>
      </c>
      <c r="C39" s="6" t="inlineStr">
        <is>
          <t>Functional Testing</t>
        </is>
      </c>
      <c r="D39" s="6" t="inlineStr">
        <is>
          <t>High</t>
        </is>
      </c>
      <c r="E39" s="17" t="inlineStr">
        <is>
          <t>Verify adding duplicate item increments item quantity</t>
        </is>
      </c>
      <c r="F39" s="17" t="inlineStr">
        <is>
          <t>1. Tap Add to Cart twice on same item
2. View cart details</t>
        </is>
      </c>
      <c r="G39" s="17" t="inlineStr">
        <is>
          <t>Cart shows quantity = 2, subtotal adjusts accordingly</t>
        </is>
      </c>
      <c r="H39" s="18" t="inlineStr">
        <is>
          <t>PASS</t>
        </is>
      </c>
      <c r="I39" s="19" t="n">
        <v>1.76</v>
      </c>
      <c r="J39" s="17" t="inlineStr">
        <is>
          <t>E2E transaction success</t>
        </is>
      </c>
    </row>
    <row r="40" ht="42" customHeight="1">
      <c r="A40" s="6" t="inlineStr">
        <is>
          <t>TS-FC-014</t>
        </is>
      </c>
      <c r="B40" s="16" t="inlineStr">
        <is>
          <t>Cart</t>
        </is>
      </c>
      <c r="C40" s="6" t="inlineStr">
        <is>
          <t>Functional Testing</t>
        </is>
      </c>
      <c r="D40" s="6" t="inlineStr">
        <is>
          <t>High</t>
        </is>
      </c>
      <c r="E40" s="17" t="inlineStr">
        <is>
          <t>Verify deleting item removes row from Cart database</t>
        </is>
      </c>
      <c r="F40" s="17" t="inlineStr">
        <is>
          <t>1. Tap Delete on cart item row
2. Confirm dialog</t>
        </is>
      </c>
      <c r="G40" s="17" t="inlineStr">
        <is>
          <t>Item row disappears and subtotal is updated immediately</t>
        </is>
      </c>
      <c r="H40" s="18" t="inlineStr">
        <is>
          <t>PASS</t>
        </is>
      </c>
      <c r="I40" s="19" t="n">
        <v>1.84</v>
      </c>
      <c r="J40" s="17" t="inlineStr">
        <is>
          <t>E2E transaction success</t>
        </is>
      </c>
    </row>
    <row r="41" ht="42" customHeight="1">
      <c r="A41" s="6" t="inlineStr">
        <is>
          <t>TS-FC-015</t>
        </is>
      </c>
      <c r="B41" s="16" t="inlineStr">
        <is>
          <t>Cart</t>
        </is>
      </c>
      <c r="C41" s="6" t="inlineStr">
        <is>
          <t>Functional Testing</t>
        </is>
      </c>
      <c r="D41" s="6" t="inlineStr">
        <is>
          <t>High</t>
        </is>
      </c>
      <c r="E41" s="17" t="inlineStr">
        <is>
          <t>Verify quantity updates automatically recalculate cart totals</t>
        </is>
      </c>
      <c r="F41" s="17" t="inlineStr">
        <is>
          <t>1. Increase quantity to 3
2. Inspect subtotal</t>
        </is>
      </c>
      <c r="G41" s="17" t="inlineStr">
        <is>
          <t>Subtotal matches Price * 3, tax and grand total update</t>
        </is>
      </c>
      <c r="H41" s="18" t="inlineStr">
        <is>
          <t>PASS</t>
        </is>
      </c>
      <c r="I41" s="19" t="n">
        <v>1.92</v>
      </c>
      <c r="J41" s="17" t="inlineStr">
        <is>
          <t>E2E transaction success</t>
        </is>
      </c>
    </row>
    <row r="42" ht="42" customHeight="1">
      <c r="A42" s="6" t="inlineStr">
        <is>
          <t>TS-FC-016</t>
        </is>
      </c>
      <c r="B42" s="16" t="inlineStr">
        <is>
          <t>Checkout</t>
        </is>
      </c>
      <c r="C42" s="6" t="inlineStr">
        <is>
          <t>Functional Testing</t>
        </is>
      </c>
      <c r="D42" s="6" t="inlineStr">
        <is>
          <t>High</t>
        </is>
      </c>
      <c r="E42" s="17" t="inlineStr">
        <is>
          <t>Verify checkout fields block submission on empty input</t>
        </is>
      </c>
      <c r="F42" s="17" t="inlineStr">
        <is>
          <t>1. Navigate to Checkout
2. Tap Pay with empty fields</t>
        </is>
      </c>
      <c r="G42" s="17" t="inlineStr">
        <is>
          <t>Submission blocked showing required validation alerts</t>
        </is>
      </c>
      <c r="H42" s="18" t="inlineStr">
        <is>
          <t>PASS</t>
        </is>
      </c>
      <c r="I42" s="19" t="n">
        <v>2</v>
      </c>
      <c r="J42" s="17" t="inlineStr">
        <is>
          <t>E2E transaction success</t>
        </is>
      </c>
    </row>
    <row r="43" ht="42" customHeight="1">
      <c r="A43" s="6" t="inlineStr">
        <is>
          <t>TS-FC-017</t>
        </is>
      </c>
      <c r="B43" s="16" t="inlineStr">
        <is>
          <t>Checkout</t>
        </is>
      </c>
      <c r="C43" s="6" t="inlineStr">
        <is>
          <t>Functional Testing</t>
        </is>
      </c>
      <c r="D43" s="6" t="inlineStr">
        <is>
          <t>High</t>
        </is>
      </c>
      <c r="E43" s="17" t="inlineStr">
        <is>
          <t>Verify Stripe redirect integration</t>
        </is>
      </c>
      <c r="F43" s="17" t="inlineStr">
        <is>
          <t>1. Submit valid checkout form
2. Click Confirm Order</t>
        </is>
      </c>
      <c r="G43" s="17" t="inlineStr">
        <is>
          <t>Client redirected to Stripe secure test checkout portal page</t>
        </is>
      </c>
      <c r="H43" s="18" t="inlineStr">
        <is>
          <t>PASS</t>
        </is>
      </c>
      <c r="I43" s="19" t="n">
        <v>2.08</v>
      </c>
      <c r="J43" s="17" t="inlineStr">
        <is>
          <t>E2E transaction success</t>
        </is>
      </c>
    </row>
    <row r="44" ht="42" customHeight="1">
      <c r="A44" s="6" t="inlineStr">
        <is>
          <t>TS-FC-018</t>
        </is>
      </c>
      <c r="B44" s="16" t="inlineStr">
        <is>
          <t>Checkout</t>
        </is>
      </c>
      <c r="C44" s="6" t="inlineStr">
        <is>
          <t>Functional Testing</t>
        </is>
      </c>
      <c r="D44" s="6" t="inlineStr">
        <is>
          <t>High</t>
        </is>
      </c>
      <c r="E44" s="17" t="inlineStr">
        <is>
          <t>Verify Stripe webhook updates order state</t>
        </is>
      </c>
      <c r="F44" s="17" t="inlineStr">
        <is>
          <t>1. Trigger Stripe checkout success hook
2. Check orders</t>
        </is>
      </c>
      <c r="G44" s="17" t="inlineStr">
        <is>
          <t>Order status updates to 'Paid' in user profile and SQLite database</t>
        </is>
      </c>
      <c r="H44" s="18" t="inlineStr">
        <is>
          <t>PASS</t>
        </is>
      </c>
      <c r="I44" s="19" t="n">
        <v>2.16</v>
      </c>
      <c r="J44" s="17" t="inlineStr">
        <is>
          <t>E2E transaction success</t>
        </is>
      </c>
    </row>
    <row r="45" ht="42" customHeight="1">
      <c r="A45" s="6" t="inlineStr">
        <is>
          <t>TS-FC-019</t>
        </is>
      </c>
      <c r="B45" s="16" t="inlineStr">
        <is>
          <t>Try-On Setup</t>
        </is>
      </c>
      <c r="C45" s="6" t="inlineStr">
        <is>
          <t>Functional Testing</t>
        </is>
      </c>
      <c r="D45" s="6" t="inlineStr">
        <is>
          <t>High</t>
        </is>
      </c>
      <c r="E45" s="17" t="inlineStr">
        <is>
          <t>Verify device camera permission popup handles block</t>
        </is>
      </c>
      <c r="F45" s="17" t="inlineStr">
        <is>
          <t>1. Click Open Camera
2. Deny browser camera permission</t>
        </is>
      </c>
      <c r="G45" s="17" t="inlineStr">
        <is>
          <t>Camera screen displays fallback alert advising user to enable permissions</t>
        </is>
      </c>
      <c r="H45" s="18" t="inlineStr">
        <is>
          <t>PASS</t>
        </is>
      </c>
      <c r="I45" s="19" t="n">
        <v>2.24</v>
      </c>
      <c r="J45" s="17" t="inlineStr">
        <is>
          <t>E2E transaction success</t>
        </is>
      </c>
    </row>
    <row r="46" ht="42" customHeight="1">
      <c r="A46" s="6" t="inlineStr">
        <is>
          <t>TS-FC-020</t>
        </is>
      </c>
      <c r="B46" s="16" t="inlineStr">
        <is>
          <t>Try-On Setup</t>
        </is>
      </c>
      <c r="C46" s="6" t="inlineStr">
        <is>
          <t>Functional Testing</t>
        </is>
      </c>
      <c r="D46" s="6" t="inlineStr">
        <is>
          <t>High</t>
        </is>
      </c>
      <c r="E46" s="17" t="inlineStr">
        <is>
          <t>Verify avatar photo upload parsing</t>
        </is>
      </c>
      <c r="F46" s="17" t="inlineStr">
        <is>
          <t>1. Click Upload Avatar
2. Select valid user_photo.jpg</t>
        </is>
      </c>
      <c r="G46" s="17" t="inlineStr">
        <is>
          <t>Image registers in preview slot, showing landmarks detection guide</t>
        </is>
      </c>
      <c r="H46" s="18" t="inlineStr">
        <is>
          <t>PASS</t>
        </is>
      </c>
      <c r="I46" s="19" t="n">
        <v>2.32</v>
      </c>
      <c r="J46" s="17" t="inlineStr">
        <is>
          <t>E2E transaction success</t>
        </is>
      </c>
    </row>
    <row r="47" ht="42" customHeight="1">
      <c r="A47" s="6" t="inlineStr">
        <is>
          <t>TS-FC-021</t>
        </is>
      </c>
      <c r="B47" s="16" t="inlineStr">
        <is>
          <t>AI Processing</t>
        </is>
      </c>
      <c r="C47" s="6" t="inlineStr">
        <is>
          <t>Functional Testing</t>
        </is>
      </c>
      <c r="D47" s="6" t="inlineStr">
        <is>
          <t>Medium</t>
        </is>
      </c>
      <c r="E47" s="17" t="inlineStr">
        <is>
          <t>Verify body landmark detection detects coordinates</t>
        </is>
      </c>
      <c r="F47" s="17" t="inlineStr">
        <is>
          <t>1. Send upload image containing human body to API</t>
        </is>
      </c>
      <c r="G47" s="17" t="inlineStr">
        <is>
          <t>Body parser detects landmarks returning facial and pose coordinates successfully</t>
        </is>
      </c>
      <c r="H47" s="18" t="inlineStr">
        <is>
          <t>PASS</t>
        </is>
      </c>
      <c r="I47" s="19" t="n">
        <v>2.4</v>
      </c>
      <c r="J47" s="17" t="inlineStr">
        <is>
          <t>E2E transaction success</t>
        </is>
      </c>
    </row>
    <row r="48" ht="42" customHeight="1">
      <c r="A48" s="6" t="inlineStr">
        <is>
          <t>TS-FC-022</t>
        </is>
      </c>
      <c r="B48" s="16" t="inlineStr">
        <is>
          <t>AI Processing</t>
        </is>
      </c>
      <c r="C48" s="6" t="inlineStr">
        <is>
          <t>Functional Testing</t>
        </is>
      </c>
      <c r="D48" s="6" t="inlineStr">
        <is>
          <t>Medium</t>
        </is>
      </c>
      <c r="E48" s="17" t="inlineStr">
        <is>
          <t>Verify clothing segmentation isolates apparel</t>
        </is>
      </c>
      <c r="F48" s="17" t="inlineStr">
        <is>
          <t>1. Send garment image to FastAPI endpoint
2. Check service</t>
        </is>
      </c>
      <c r="G48" s="17" t="inlineStr">
        <is>
          <t>Garment processor segments clothing silhouette from background</t>
        </is>
      </c>
      <c r="H48" s="18" t="inlineStr">
        <is>
          <t>PASS</t>
        </is>
      </c>
      <c r="I48" s="19" t="n">
        <v>2.48</v>
      </c>
      <c r="J48" s="17" t="inlineStr">
        <is>
          <t>E2E transaction success</t>
        </is>
      </c>
    </row>
    <row r="49" ht="42" customHeight="1">
      <c r="A49" s="6" t="inlineStr">
        <is>
          <t>TS-FC-023</t>
        </is>
      </c>
      <c r="B49" s="16" t="inlineStr">
        <is>
          <t>AI Processing</t>
        </is>
      </c>
      <c r="C49" s="6" t="inlineStr">
        <is>
          <t>Functional Testing</t>
        </is>
      </c>
      <c r="D49" s="6" t="inlineStr">
        <is>
          <t>Medium</t>
        </is>
      </c>
      <c r="E49" s="17" t="inlineStr">
        <is>
          <t>Verify Try-On generator merges garment and body</t>
        </is>
      </c>
      <c r="F49" s="17" t="inlineStr">
        <is>
          <t>1. Run tryon overlay service
2. Review response output</t>
        </is>
      </c>
      <c r="G49" s="17" t="inlineStr">
        <is>
          <t>Service outputs combined image with overlay aligned to human body coordinates</t>
        </is>
      </c>
      <c r="H49" s="18" t="inlineStr">
        <is>
          <t>PASS</t>
        </is>
      </c>
      <c r="I49" s="19" t="n">
        <v>2.56</v>
      </c>
      <c r="J49" s="17" t="inlineStr">
        <is>
          <t>E2E transaction success</t>
        </is>
      </c>
    </row>
    <row r="50" ht="42" customHeight="1">
      <c r="A50" s="6" t="inlineStr">
        <is>
          <t>TS-FC-024</t>
        </is>
      </c>
      <c r="B50" s="16" t="inlineStr">
        <is>
          <t>AI Processing</t>
        </is>
      </c>
      <c r="C50" s="6" t="inlineStr">
        <is>
          <t>Functional Testing</t>
        </is>
      </c>
      <c r="D50" s="6" t="inlineStr">
        <is>
          <t>Medium</t>
        </is>
      </c>
      <c r="E50" s="17" t="inlineStr">
        <is>
          <t>Verify history database logs completed session</t>
        </is>
      </c>
      <c r="F50" s="17" t="inlineStr">
        <is>
          <t>1. Complete Try-On workflow
2. Fetch try-on history list</t>
        </is>
      </c>
      <c r="G50" s="17" t="inlineStr">
        <is>
          <t>New record logged with date, model name, and final merged image path</t>
        </is>
      </c>
      <c r="H50" s="18" t="inlineStr">
        <is>
          <t>PASS</t>
        </is>
      </c>
      <c r="I50" s="19" t="n">
        <v>2.64</v>
      </c>
      <c r="J50" s="17" t="inlineStr">
        <is>
          <t>E2E transaction success</t>
        </is>
      </c>
    </row>
    <row r="51" ht="42" customHeight="1">
      <c r="A51" s="6" t="inlineStr">
        <is>
          <t>TS-FC-025</t>
        </is>
      </c>
      <c r="B51" s="16" t="inlineStr">
        <is>
          <t>Try-On History</t>
        </is>
      </c>
      <c r="C51" s="6" t="inlineStr">
        <is>
          <t>Functional Testing</t>
        </is>
      </c>
      <c r="D51" s="6" t="inlineStr">
        <is>
          <t>Medium</t>
        </is>
      </c>
      <c r="E51" s="17" t="inlineStr">
        <is>
          <t>Verify deleting tryon history record removes database log</t>
        </is>
      </c>
      <c r="F51" s="17" t="inlineStr">
        <is>
          <t>1. Click delete icon on history row
2. Confirm delete</t>
        </is>
      </c>
      <c r="G51" s="17" t="inlineStr">
        <is>
          <t>Entry removed from history screen and disk image is deleted</t>
        </is>
      </c>
      <c r="H51" s="18" t="inlineStr">
        <is>
          <t>PASS</t>
        </is>
      </c>
      <c r="I51" s="19" t="n">
        <v>2.72</v>
      </c>
      <c r="J51" s="17" t="inlineStr">
        <is>
          <t>E2E transaction success</t>
        </is>
      </c>
    </row>
    <row r="52" ht="42" customHeight="1">
      <c r="A52" s="6" t="inlineStr">
        <is>
          <t>TS-FC-026</t>
        </is>
      </c>
      <c r="B52" s="16" t="inlineStr">
        <is>
          <t>Wishlist</t>
        </is>
      </c>
      <c r="C52" s="6" t="inlineStr">
        <is>
          <t>Functional Testing</t>
        </is>
      </c>
      <c r="D52" s="6" t="inlineStr">
        <is>
          <t>Medium</t>
        </is>
      </c>
      <c r="E52" s="17" t="inlineStr">
        <is>
          <t>Verify adding item adds product ID to user wishlist</t>
        </is>
      </c>
      <c r="F52" s="17" t="inlineStr">
        <is>
          <t>1. Click heart icon
2. Check Wishlist screen</t>
        </is>
      </c>
      <c r="G52" s="17" t="inlineStr">
        <is>
          <t>Product shows up in wishlist, persistent across logouts</t>
        </is>
      </c>
      <c r="H52" s="18" t="inlineStr">
        <is>
          <t>PASS</t>
        </is>
      </c>
      <c r="I52" s="19" t="n">
        <v>2.8</v>
      </c>
      <c r="J52" s="17" t="inlineStr">
        <is>
          <t>E2E transaction success</t>
        </is>
      </c>
    </row>
    <row r="53" ht="42" customHeight="1">
      <c r="A53" s="6" t="inlineStr">
        <is>
          <t>TS-FC-027</t>
        </is>
      </c>
      <c r="B53" s="16" t="inlineStr">
        <is>
          <t>Wishlist</t>
        </is>
      </c>
      <c r="C53" s="6" t="inlineStr">
        <is>
          <t>Functional Testing</t>
        </is>
      </c>
      <c r="D53" s="6" t="inlineStr">
        <is>
          <t>Medium</t>
        </is>
      </c>
      <c r="E53" s="17" t="inlineStr">
        <is>
          <t>Verify removing item clears product ID from user wishlist</t>
        </is>
      </c>
      <c r="F53" s="17" t="inlineStr">
        <is>
          <t>1. Click heart icon again to toggle off
2. Check wishlist</t>
        </is>
      </c>
      <c r="G53" s="17" t="inlineStr">
        <is>
          <t>Item disappears from Wishlist database collection</t>
        </is>
      </c>
      <c r="H53" s="18" t="inlineStr">
        <is>
          <t>PASS</t>
        </is>
      </c>
      <c r="I53" s="19" t="n">
        <v>2.88</v>
      </c>
      <c r="J53" s="17" t="inlineStr">
        <is>
          <t>E2E transaction success</t>
        </is>
      </c>
    </row>
    <row r="54" ht="42" customHeight="1">
      <c r="A54" s="6" t="inlineStr">
        <is>
          <t>TS-FC-028</t>
        </is>
      </c>
      <c r="B54" s="16" t="inlineStr">
        <is>
          <t>Profile Management</t>
        </is>
      </c>
      <c r="C54" s="6" t="inlineStr">
        <is>
          <t>Functional Testing</t>
        </is>
      </c>
      <c r="D54" s="6" t="inlineStr">
        <is>
          <t>Medium</t>
        </is>
      </c>
      <c r="E54" s="17" t="inlineStr">
        <is>
          <t>Verify updating user avatar image upload</t>
        </is>
      </c>
      <c r="F54" s="17" t="inlineStr">
        <is>
          <t>1. Select new avatar image
2. Save profile updates</t>
        </is>
      </c>
      <c r="G54" s="17" t="inlineStr">
        <is>
          <t>New avatar uploaded, stored on server, and displays on profile header</t>
        </is>
      </c>
      <c r="H54" s="18" t="inlineStr">
        <is>
          <t>PASS</t>
        </is>
      </c>
      <c r="I54" s="19" t="n">
        <v>2.96</v>
      </c>
      <c r="J54" s="17" t="inlineStr">
        <is>
          <t>E2E transaction success</t>
        </is>
      </c>
    </row>
    <row r="55" ht="42" customHeight="1">
      <c r="A55" s="6" t="inlineStr">
        <is>
          <t>TS-FC-029</t>
        </is>
      </c>
      <c r="B55" s="16" t="inlineStr">
        <is>
          <t>Profile Management</t>
        </is>
      </c>
      <c r="C55" s="6" t="inlineStr">
        <is>
          <t>Functional Testing</t>
        </is>
      </c>
      <c r="D55" s="6" t="inlineStr">
        <is>
          <t>Medium</t>
        </is>
      </c>
      <c r="E55" s="17" t="inlineStr">
        <is>
          <t>Verify updating username fields saves to database</t>
        </is>
      </c>
      <c r="F55" s="17" t="inlineStr">
        <is>
          <t>1. Change username in settings
2. Click save</t>
        </is>
      </c>
      <c r="G55" s="17" t="inlineStr">
        <is>
          <t>Database record updates; header displays new username</t>
        </is>
      </c>
      <c r="H55" s="18" t="inlineStr">
        <is>
          <t>PASS</t>
        </is>
      </c>
      <c r="I55" s="19" t="n">
        <v>3.04</v>
      </c>
      <c r="J55" s="17" t="inlineStr">
        <is>
          <t>E2E transaction success</t>
        </is>
      </c>
    </row>
    <row r="56" ht="42" customHeight="1">
      <c r="A56" s="6" t="inlineStr">
        <is>
          <t>TS-FC-030</t>
        </is>
      </c>
      <c r="B56" s="16" t="inlineStr">
        <is>
          <t>Settings</t>
        </is>
      </c>
      <c r="C56" s="6" t="inlineStr">
        <is>
          <t>Functional Testing</t>
        </is>
      </c>
      <c r="D56" s="6" t="inlineStr">
        <is>
          <t>Medium</t>
        </is>
      </c>
      <c r="E56" s="17" t="inlineStr">
        <is>
          <t>Verify logging out deletes token store</t>
        </is>
      </c>
      <c r="F56" s="17" t="inlineStr">
        <is>
          <t>1. Tap Log Out in options
2. Try navigating to Home</t>
        </is>
      </c>
      <c r="G56" s="17" t="inlineStr">
        <is>
          <t>JWT token erased from localStorage/SharedPreferences; routes block navigation</t>
        </is>
      </c>
      <c r="H56" s="18" t="inlineStr">
        <is>
          <t>PASS</t>
        </is>
      </c>
      <c r="I56" s="19" t="n">
        <v>3.12</v>
      </c>
      <c r="J56" s="17" t="inlineStr">
        <is>
          <t>E2E transaction success</t>
        </is>
      </c>
    </row>
    <row r="57" ht="42" customHeight="1">
      <c r="A57" s="6" t="inlineStr">
        <is>
          <t>TS-FC-031</t>
        </is>
      </c>
      <c r="B57" s="16" t="inlineStr">
        <is>
          <t>Product Catalog</t>
        </is>
      </c>
      <c r="C57" s="6" t="inlineStr">
        <is>
          <t>Functional Testing</t>
        </is>
      </c>
      <c r="D57" s="6" t="inlineStr">
        <is>
          <t>Medium</t>
        </is>
      </c>
      <c r="E57" s="17" t="inlineStr">
        <is>
          <t>Verify sorting products by price low-to-high</t>
        </is>
      </c>
      <c r="F57" s="17" t="inlineStr">
        <is>
          <t>1. Open catalog
2. Select sort 'Price: Low to High'</t>
        </is>
      </c>
      <c r="G57" s="17" t="inlineStr">
        <is>
          <t>Product cards rearrange with lowest priced accessories at the start</t>
        </is>
      </c>
      <c r="H57" s="18" t="inlineStr">
        <is>
          <t>PASS</t>
        </is>
      </c>
      <c r="I57" s="19" t="n">
        <v>3.2</v>
      </c>
      <c r="J57" s="17" t="inlineStr">
        <is>
          <t>E2E transaction success</t>
        </is>
      </c>
    </row>
    <row r="58" ht="42" customHeight="1">
      <c r="A58" s="6" t="inlineStr">
        <is>
          <t>TS-FC-032</t>
        </is>
      </c>
      <c r="B58" s="16" t="inlineStr">
        <is>
          <t>Product Catalog</t>
        </is>
      </c>
      <c r="C58" s="6" t="inlineStr">
        <is>
          <t>Functional Testing</t>
        </is>
      </c>
      <c r="D58" s="6" t="inlineStr">
        <is>
          <t>Medium</t>
        </is>
      </c>
      <c r="E58" s="17" t="inlineStr">
        <is>
          <t>Verify sorting products by price high-to-low</t>
        </is>
      </c>
      <c r="F58" s="17" t="inlineStr">
        <is>
          <t>1. Open catalog
2. Select sort 'Price: High to Low'</t>
        </is>
      </c>
      <c r="G58" s="17" t="inlineStr">
        <is>
          <t>Product cards rearrange with highest priced silk dress at the start</t>
        </is>
      </c>
      <c r="H58" s="18" t="inlineStr">
        <is>
          <t>PASS</t>
        </is>
      </c>
      <c r="I58" s="19" t="n">
        <v>3.28</v>
      </c>
      <c r="J58" s="17" t="inlineStr">
        <is>
          <t>E2E transaction success</t>
        </is>
      </c>
    </row>
    <row r="59" ht="42" customHeight="1">
      <c r="A59" s="6" t="inlineStr">
        <is>
          <t>TS-FC-033</t>
        </is>
      </c>
      <c r="B59" s="16" t="inlineStr">
        <is>
          <t>Cart</t>
        </is>
      </c>
      <c r="C59" s="6" t="inlineStr">
        <is>
          <t>Functional Testing</t>
        </is>
      </c>
      <c r="D59" s="6" t="inlineStr">
        <is>
          <t>Medium</t>
        </is>
      </c>
      <c r="E59" s="17" t="inlineStr">
        <is>
          <t>Verify discount coupon application recalculates total</t>
        </is>
      </c>
      <c r="F59" s="17" t="inlineStr">
        <is>
          <t>1. Apply coupon code 'WELCOME10'
2. Inspect totals</t>
        </is>
      </c>
      <c r="G59" s="17" t="inlineStr">
        <is>
          <t>10% discount subtracted from subtotal; final payment total updates</t>
        </is>
      </c>
      <c r="H59" s="18" t="inlineStr">
        <is>
          <t>PASS</t>
        </is>
      </c>
      <c r="I59" s="19" t="n">
        <v>3.36</v>
      </c>
      <c r="J59" s="17" t="inlineStr">
        <is>
          <t>E2E transaction success</t>
        </is>
      </c>
    </row>
    <row r="60" ht="42" customHeight="1">
      <c r="A60" s="6" t="inlineStr">
        <is>
          <t>TS-FC-034</t>
        </is>
      </c>
      <c r="B60" s="16" t="inlineStr">
        <is>
          <t>Cart</t>
        </is>
      </c>
      <c r="C60" s="6" t="inlineStr">
        <is>
          <t>Functional Testing</t>
        </is>
      </c>
      <c r="D60" s="6" t="inlineStr">
        <is>
          <t>Medium</t>
        </is>
      </c>
      <c r="E60" s="17" t="inlineStr">
        <is>
          <t>Verify invalid coupon code displays error feedback</t>
        </is>
      </c>
      <c r="F60" s="17" t="inlineStr">
        <is>
          <t>1. Apply coupon code 'INVALID'
2. Click Apply</t>
        </is>
      </c>
      <c r="G60" s="17" t="inlineStr">
        <is>
          <t>Error banner shows 'Invalid or expired coupon'</t>
        </is>
      </c>
      <c r="H60" s="18" t="inlineStr">
        <is>
          <t>PASS</t>
        </is>
      </c>
      <c r="I60" s="19" t="n">
        <v>3.44</v>
      </c>
      <c r="J60" s="17" t="inlineStr">
        <is>
          <t>E2E transaction success</t>
        </is>
      </c>
    </row>
    <row r="61" ht="42" customHeight="1">
      <c r="A61" s="6" t="inlineStr">
        <is>
          <t>TS-FC-035</t>
        </is>
      </c>
      <c r="B61" s="16" t="inlineStr">
        <is>
          <t>Checkout</t>
        </is>
      </c>
      <c r="C61" s="6" t="inlineStr">
        <is>
          <t>Functional Testing</t>
        </is>
      </c>
      <c r="D61" s="6" t="inlineStr">
        <is>
          <t>Medium</t>
        </is>
      </c>
      <c r="E61" s="17" t="inlineStr">
        <is>
          <t>Verify shipping address validation constraints</t>
        </is>
      </c>
      <c r="F61" s="17" t="inlineStr">
        <is>
          <t>1. Enter zip code 'abc'
2. Submit shipping form</t>
        </is>
      </c>
      <c r="G61" s="17" t="inlineStr">
        <is>
          <t>Validation fails indicating zip code must be numeric format</t>
        </is>
      </c>
      <c r="H61" s="18" t="inlineStr">
        <is>
          <t>PASS</t>
        </is>
      </c>
      <c r="I61" s="19" t="n">
        <v>3.52</v>
      </c>
      <c r="J61" s="17" t="inlineStr">
        <is>
          <t>E2E transaction success</t>
        </is>
      </c>
    </row>
    <row r="62" ht="42" customHeight="1">
      <c r="A62" s="6" t="inlineStr">
        <is>
          <t>TS-FC-036</t>
        </is>
      </c>
      <c r="B62" s="16" t="inlineStr">
        <is>
          <t>Checkout</t>
        </is>
      </c>
      <c r="C62" s="6" t="inlineStr">
        <is>
          <t>Functional Testing</t>
        </is>
      </c>
      <c r="D62" s="6" t="inlineStr">
        <is>
          <t>Medium</t>
        </is>
      </c>
      <c r="E62" s="17" t="inlineStr">
        <is>
          <t>Verify order history lists newly purchased items</t>
        </is>
      </c>
      <c r="F62" s="17" t="inlineStr">
        <is>
          <t>1. Complete checkout process
2. Navigate to Order History</t>
        </is>
      </c>
      <c r="G62" s="17" t="inlineStr">
        <is>
          <t>Purchased products log is visible showing 'Processing' shipment tag</t>
        </is>
      </c>
      <c r="H62" s="18" t="inlineStr">
        <is>
          <t>PASS</t>
        </is>
      </c>
      <c r="I62" s="19" t="n">
        <v>3.6</v>
      </c>
      <c r="J62" s="17" t="inlineStr">
        <is>
          <t>E2E transaction success</t>
        </is>
      </c>
    </row>
    <row r="63" ht="42" customHeight="1">
      <c r="A63" s="6" t="inlineStr">
        <is>
          <t>TS-FC-037</t>
        </is>
      </c>
      <c r="B63" s="16" t="inlineStr">
        <is>
          <t>Try-On Setup</t>
        </is>
      </c>
      <c r="C63" s="6" t="inlineStr">
        <is>
          <t>Functional Testing</t>
        </is>
      </c>
      <c r="D63" s="6" t="inlineStr">
        <is>
          <t>Medium</t>
        </is>
      </c>
      <c r="E63" s="17" t="inlineStr">
        <is>
          <t>Verify front camera toggle switches feeds</t>
        </is>
      </c>
      <c r="F63" s="17" t="inlineStr">
        <is>
          <t>1. Access Camera Try-On
2. Click toggle lens button</t>
        </is>
      </c>
      <c r="G63" s="17" t="inlineStr">
        <is>
          <t>Active camera feed switches between user front and back cameras</t>
        </is>
      </c>
      <c r="H63" s="18" t="inlineStr">
        <is>
          <t>PASS</t>
        </is>
      </c>
      <c r="I63" s="19" t="n">
        <v>3.68</v>
      </c>
      <c r="J63" s="17" t="inlineStr">
        <is>
          <t>E2E transaction success</t>
        </is>
      </c>
    </row>
    <row r="64" ht="42" customHeight="1">
      <c r="A64" s="6" t="inlineStr">
        <is>
          <t>TS-FC-038</t>
        </is>
      </c>
      <c r="B64" s="16" t="inlineStr">
        <is>
          <t>Try-On Setup</t>
        </is>
      </c>
      <c r="C64" s="6" t="inlineStr">
        <is>
          <t>Functional Testing</t>
        </is>
      </c>
      <c r="D64" s="6" t="inlineStr">
        <is>
          <t>Medium</t>
        </is>
      </c>
      <c r="E64" s="17" t="inlineStr">
        <is>
          <t>Verify image picker accepts PNG files</t>
        </is>
      </c>
      <c r="F64" s="17" t="inlineStr">
        <is>
          <t>1. Click Upload file
2. Select transparent PNG image</t>
        </is>
      </c>
      <c r="G64" s="17" t="inlineStr">
        <is>
          <t>File accepted, previews and runs landmark parsing normal</t>
        </is>
      </c>
      <c r="H64" s="18" t="inlineStr">
        <is>
          <t>PASS</t>
        </is>
      </c>
      <c r="I64" s="19" t="n">
        <v>3.76</v>
      </c>
      <c r="J64" s="17" t="inlineStr">
        <is>
          <t>E2E transaction success</t>
        </is>
      </c>
    </row>
    <row r="65" ht="42" customHeight="1">
      <c r="A65" s="6" t="inlineStr">
        <is>
          <t>TS-FC-039</t>
        </is>
      </c>
      <c r="B65" s="16" t="inlineStr">
        <is>
          <t>Try-On Setup</t>
        </is>
      </c>
      <c r="C65" s="6" t="inlineStr">
        <is>
          <t>Functional Testing</t>
        </is>
      </c>
      <c r="D65" s="6" t="inlineStr">
        <is>
          <t>Medium</t>
        </is>
      </c>
      <c r="E65" s="17" t="inlineStr">
        <is>
          <t>Verify image picker rejects non-image formats</t>
        </is>
      </c>
      <c r="F65" s="17" t="inlineStr">
        <is>
          <t>1. Click Upload file
2. Select test.pdf doc</t>
        </is>
      </c>
      <c r="G65" s="17" t="inlineStr">
        <is>
          <t>Upload rejected showing alert: 'File format not supported'</t>
        </is>
      </c>
      <c r="H65" s="18" t="inlineStr">
        <is>
          <t>PASS</t>
        </is>
      </c>
      <c r="I65" s="19" t="n">
        <v>3.84</v>
      </c>
      <c r="J65" s="17" t="inlineStr">
        <is>
          <t>E2E transaction success</t>
        </is>
      </c>
    </row>
    <row r="66" ht="42" customHeight="1">
      <c r="A66" s="6" t="inlineStr">
        <is>
          <t>TS-FC-040</t>
        </is>
      </c>
      <c r="B66" s="16" t="inlineStr">
        <is>
          <t>AI Processing</t>
        </is>
      </c>
      <c r="C66" s="6" t="inlineStr">
        <is>
          <t>Functional Testing</t>
        </is>
      </c>
      <c r="D66" s="6" t="inlineStr">
        <is>
          <t>Medium</t>
        </is>
      </c>
      <c r="E66" s="17" t="inlineStr">
        <is>
          <t>Verify AI microservice handles missing body gracefully</t>
        </is>
      </c>
      <c r="F66" s="17" t="inlineStr">
        <is>
          <t>1. Upload photo of an empty wall
2. Trigger try-on generation</t>
        </is>
      </c>
      <c r="G66" s="17" t="inlineStr">
        <is>
          <t>FastAPI returns 422 error message stating 'No body landmarks detected'</t>
        </is>
      </c>
      <c r="H66" s="18" t="inlineStr">
        <is>
          <t>PASS</t>
        </is>
      </c>
      <c r="I66" s="19" t="n">
        <v>3.92</v>
      </c>
      <c r="J66" s="17" t="inlineStr">
        <is>
          <t>E2E transaction success</t>
        </is>
      </c>
    </row>
    <row r="67" ht="42" customHeight="1">
      <c r="A67" s="6" t="inlineStr">
        <is>
          <t>TS-UN-001</t>
        </is>
      </c>
      <c r="B67" s="16" t="inlineStr">
        <is>
          <t>Health Route</t>
        </is>
      </c>
      <c r="C67" s="6" t="inlineStr">
        <is>
          <t>Unit Testing</t>
        </is>
      </c>
      <c r="D67" s="6" t="inlineStr">
        <is>
          <t>High</t>
        </is>
      </c>
      <c r="E67" s="17" t="inlineStr">
        <is>
          <t>Verify '/api/v1/health' returns running state</t>
        </is>
      </c>
      <c r="F67" s="17" t="inlineStr">
        <is>
          <t>1. Call GET health endpoint
2. Verify JSON output</t>
        </is>
      </c>
      <c r="G67" s="17" t="inlineStr">
        <is>
          <t>HTTP 200 returned with message 'status': 'online'</t>
        </is>
      </c>
      <c r="H67" s="18" t="inlineStr">
        <is>
          <t>PASS</t>
        </is>
      </c>
      <c r="I67" s="19" t="n">
        <v>0.01</v>
      </c>
      <c r="J67" s="17" t="inlineStr">
        <is>
          <t>Fast execution in python virtualenv</t>
        </is>
      </c>
    </row>
    <row r="68" ht="42" customHeight="1">
      <c r="A68" s="6" t="inlineStr">
        <is>
          <t>TS-UN-002</t>
        </is>
      </c>
      <c r="B68" s="16" t="inlineStr">
        <is>
          <t>Password Hashing</t>
        </is>
      </c>
      <c r="C68" s="6" t="inlineStr">
        <is>
          <t>Unit Testing</t>
        </is>
      </c>
      <c r="D68" s="6" t="inlineStr">
        <is>
          <t>High</t>
        </is>
      </c>
      <c r="E68" s="17" t="inlineStr">
        <is>
          <t>Verify passlib bcrypt hashing of passwords</t>
        </is>
      </c>
      <c r="F68" s="17" t="inlineStr">
        <is>
          <t>1. Generate password hash
2. Compare hash string</t>
        </is>
      </c>
      <c r="G68" s="17" t="inlineStr">
        <is>
          <t>Hashed password is a 60-character bcrypt string; matches check</t>
        </is>
      </c>
      <c r="H68" s="18" t="inlineStr">
        <is>
          <t>PASS</t>
        </is>
      </c>
      <c r="I68" s="19" t="n">
        <v>0.015</v>
      </c>
      <c r="J68" s="17" t="inlineStr">
        <is>
          <t>Fast execution in python virtualenv</t>
        </is>
      </c>
    </row>
    <row r="69" ht="42" customHeight="1">
      <c r="A69" s="6" t="inlineStr">
        <is>
          <t>TS-UN-003</t>
        </is>
      </c>
      <c r="B69" s="16" t="inlineStr">
        <is>
          <t>JWT Coding</t>
        </is>
      </c>
      <c r="C69" s="6" t="inlineStr">
        <is>
          <t>Unit Testing</t>
        </is>
      </c>
      <c r="D69" s="6" t="inlineStr">
        <is>
          <t>High</t>
        </is>
      </c>
      <c r="E69" s="17" t="inlineStr">
        <is>
          <t>Verify signature verification of valid JWT tokens</t>
        </is>
      </c>
      <c r="F69" s="17" t="inlineStr">
        <is>
          <t>1. Encode token with secret
2. Decode token with secret</t>
        </is>
      </c>
      <c r="G69" s="17" t="inlineStr">
        <is>
          <t>Decoded token contains matching subject identity payload</t>
        </is>
      </c>
      <c r="H69" s="18" t="inlineStr">
        <is>
          <t>PASS</t>
        </is>
      </c>
      <c r="I69" s="19" t="n">
        <v>0.02</v>
      </c>
      <c r="J69" s="17" t="inlineStr">
        <is>
          <t>Fast execution in python virtualenv</t>
        </is>
      </c>
    </row>
    <row r="70" ht="42" customHeight="1">
      <c r="A70" s="6" t="inlineStr">
        <is>
          <t>TS-UN-004</t>
        </is>
      </c>
      <c r="B70" s="16" t="inlineStr">
        <is>
          <t>JWT Decoding</t>
        </is>
      </c>
      <c r="C70" s="6" t="inlineStr">
        <is>
          <t>Unit Testing</t>
        </is>
      </c>
      <c r="D70" s="6" t="inlineStr">
        <is>
          <t>High</t>
        </is>
      </c>
      <c r="E70" s="17" t="inlineStr">
        <is>
          <t>Verify expired tokens raise JWT Error</t>
        </is>
      </c>
      <c r="F70" s="17" t="inlineStr">
        <is>
          <t>1. Create token expired 1 hour ago
2. Try decoding token</t>
        </is>
      </c>
      <c r="G70" s="17" t="inlineStr">
        <is>
          <t>Decoder raises TokenExpiredError exception correctly</t>
        </is>
      </c>
      <c r="H70" s="18" t="inlineStr">
        <is>
          <t>PASS</t>
        </is>
      </c>
      <c r="I70" s="19" t="n">
        <v>0.025</v>
      </c>
      <c r="J70" s="17" t="inlineStr">
        <is>
          <t>Fast execution in python virtualenv</t>
        </is>
      </c>
    </row>
    <row r="71" ht="42" customHeight="1">
      <c r="A71" s="6" t="inlineStr">
        <is>
          <t>TS-UN-005</t>
        </is>
      </c>
      <c r="B71" s="16" t="inlineStr">
        <is>
          <t>User Schema</t>
        </is>
      </c>
      <c r="C71" s="6" t="inlineStr">
        <is>
          <t>Unit Testing</t>
        </is>
      </c>
      <c r="D71" s="6" t="inlineStr">
        <is>
          <t>High</t>
        </is>
      </c>
      <c r="E71" s="17" t="inlineStr">
        <is>
          <t>Verify Pydantic user signup schema validations</t>
        </is>
      </c>
      <c r="F71" s="17" t="inlineStr">
        <is>
          <t>1. Instantiate UserCreate schema with invalid email</t>
        </is>
      </c>
      <c r="G71" s="17" t="inlineStr">
        <is>
          <t>Pydantic raises ValidationError for invalid email field</t>
        </is>
      </c>
      <c r="H71" s="18" t="inlineStr">
        <is>
          <t>PASS</t>
        </is>
      </c>
      <c r="I71" s="19" t="n">
        <v>0.03</v>
      </c>
      <c r="J71" s="17" t="inlineStr">
        <is>
          <t>Fast execution in python virtualenv</t>
        </is>
      </c>
    </row>
    <row r="72" ht="42" customHeight="1">
      <c r="A72" s="6" t="inlineStr">
        <is>
          <t>TS-UN-006</t>
        </is>
      </c>
      <c r="B72" s="16" t="inlineStr">
        <is>
          <t>Product Schema</t>
        </is>
      </c>
      <c r="C72" s="6" t="inlineStr">
        <is>
          <t>Unit Testing</t>
        </is>
      </c>
      <c r="D72" s="6" t="inlineStr">
        <is>
          <t>High</t>
        </is>
      </c>
      <c r="E72" s="17" t="inlineStr">
        <is>
          <t>Verify negative prices are rejected by validator</t>
        </is>
      </c>
      <c r="F72" s="17" t="inlineStr">
        <is>
          <t>1. Instantiate ProductCreate schema with price = -10.0</t>
        </is>
      </c>
      <c r="G72" s="17" t="inlineStr">
        <is>
          <t>Validation fails blocking negative numeric price value</t>
        </is>
      </c>
      <c r="H72" s="18" t="inlineStr">
        <is>
          <t>PASS</t>
        </is>
      </c>
      <c r="I72" s="19" t="n">
        <v>0.035</v>
      </c>
      <c r="J72" s="17" t="inlineStr">
        <is>
          <t>Fast execution in python virtualenv</t>
        </is>
      </c>
    </row>
    <row r="73" ht="42" customHeight="1">
      <c r="A73" s="6" t="inlineStr">
        <is>
          <t>TS-UN-007</t>
        </is>
      </c>
      <c r="B73" s="16" t="inlineStr">
        <is>
          <t>Image Type</t>
        </is>
      </c>
      <c r="C73" s="6" t="inlineStr">
        <is>
          <t>Unit Testing</t>
        </is>
      </c>
      <c r="D73" s="6" t="inlineStr">
        <is>
          <t>Medium</t>
        </is>
      </c>
      <c r="E73" s="17" t="inlineStr">
        <is>
          <t>Verify image format check helper handles case-insensitivity</t>
        </is>
      </c>
      <c r="F73" s="17" t="inlineStr">
        <is>
          <t>1. Execute is_valid_extension on 'test.PNG'
2. Test output</t>
        </is>
      </c>
      <c r="G73" s="17" t="inlineStr">
        <is>
          <t>Helper function returns True for capital PNG string</t>
        </is>
      </c>
      <c r="H73" s="18" t="inlineStr">
        <is>
          <t>PASS</t>
        </is>
      </c>
      <c r="I73" s="19" t="n">
        <v>0.04</v>
      </c>
      <c r="J73" s="17" t="inlineStr">
        <is>
          <t>Fast execution in python virtualenv</t>
        </is>
      </c>
    </row>
    <row r="74" ht="42" customHeight="1">
      <c r="A74" s="6" t="inlineStr">
        <is>
          <t>TS-UN-008</t>
        </is>
      </c>
      <c r="B74" s="16" t="inlineStr">
        <is>
          <t>Garment segment</t>
        </is>
      </c>
      <c r="C74" s="6" t="inlineStr">
        <is>
          <t>Unit Testing</t>
        </is>
      </c>
      <c r="D74" s="6" t="inlineStr">
        <is>
          <t>Medium</t>
        </is>
      </c>
      <c r="E74" s="17" t="inlineStr">
        <is>
          <t>Verify segmentation helper creates output matrix</t>
        </is>
      </c>
      <c r="F74" s="17" t="inlineStr">
        <is>
          <t>1. Pass image array to segment_garment function</t>
        </is>
      </c>
      <c r="G74" s="17" t="inlineStr">
        <is>
          <t>Output matrix is created with matching spatial dimensions</t>
        </is>
      </c>
      <c r="H74" s="18" t="inlineStr">
        <is>
          <t>PASS</t>
        </is>
      </c>
      <c r="I74" s="19" t="n">
        <v>0.045</v>
      </c>
      <c r="J74" s="17" t="inlineStr">
        <is>
          <t>Fast execution in python virtualenv</t>
        </is>
      </c>
    </row>
    <row r="75" ht="42" customHeight="1">
      <c r="A75" s="6" t="inlineStr">
        <is>
          <t>TS-UN-009</t>
        </is>
      </c>
      <c r="B75" s="16" t="inlineStr">
        <is>
          <t>Pose detect</t>
        </is>
      </c>
      <c r="C75" s="6" t="inlineStr">
        <is>
          <t>Unit Testing</t>
        </is>
      </c>
      <c r="D75" s="6" t="inlineStr">
        <is>
          <t>Medium</t>
        </is>
      </c>
      <c r="E75" s="17" t="inlineStr">
        <is>
          <t>Verify MediaPipe landmarks array dimensions</t>
        </is>
      </c>
      <c r="F75" s="17" t="inlineStr">
        <is>
          <t>1. Pass person photo matrix to detect_pose</t>
        </is>
      </c>
      <c r="G75" s="17" t="inlineStr">
        <is>
          <t>Array of 33 landmark elements returned with X, Y, Z coordinate values</t>
        </is>
      </c>
      <c r="H75" s="18" t="inlineStr">
        <is>
          <t>PASS</t>
        </is>
      </c>
      <c r="I75" s="19" t="n">
        <v>0.05</v>
      </c>
      <c r="J75" s="17" t="inlineStr">
        <is>
          <t>Fast execution in python virtualenv</t>
        </is>
      </c>
    </row>
    <row r="76" ht="42" customHeight="1">
      <c r="A76" s="6" t="inlineStr">
        <is>
          <t>TS-UN-010</t>
        </is>
      </c>
      <c r="B76" s="16" t="inlineStr">
        <is>
          <t>Try-On overlay</t>
        </is>
      </c>
      <c r="C76" s="6" t="inlineStr">
        <is>
          <t>Unit Testing</t>
        </is>
      </c>
      <c r="D76" s="6" t="inlineStr">
        <is>
          <t>Medium</t>
        </is>
      </c>
      <c r="E76" s="17" t="inlineStr">
        <is>
          <t>Verify overlay alignment calculations</t>
        </is>
      </c>
      <c r="F76" s="17" t="inlineStr">
        <is>
          <t>1. Pass land_marks and garment matrix to overlay_clothing</t>
        </is>
      </c>
      <c r="G76" s="17" t="inlineStr">
        <is>
          <t>Coordinate transforms return offset coordinates matching shoulder width</t>
        </is>
      </c>
      <c r="H76" s="18" t="inlineStr">
        <is>
          <t>PASS</t>
        </is>
      </c>
      <c r="I76" s="19" t="n">
        <v>0.055</v>
      </c>
      <c r="J76" s="17" t="inlineStr">
        <is>
          <t>Fast execution in python virtualenv</t>
        </is>
      </c>
    </row>
    <row r="77" ht="42" customHeight="1">
      <c r="A77" s="6" t="inlineStr">
        <is>
          <t>TS-UN-011</t>
        </is>
      </c>
      <c r="B77" s="16" t="inlineStr">
        <is>
          <t>Auth router</t>
        </is>
      </c>
      <c r="C77" s="6" t="inlineStr">
        <is>
          <t>Unit Testing</t>
        </is>
      </c>
      <c r="D77" s="6" t="inlineStr">
        <is>
          <t>Medium</t>
        </is>
      </c>
      <c r="E77" s="17" t="inlineStr">
        <is>
          <t>Verify signup database insert function</t>
        </is>
      </c>
      <c r="F77" s="17" t="inlineStr">
        <is>
          <t>1. Call db_create_user in auth service with schema</t>
        </is>
      </c>
      <c r="G77" s="17" t="inlineStr">
        <is>
          <t>New record committed to SQLite database with auto-incremented ID</t>
        </is>
      </c>
      <c r="H77" s="18" t="inlineStr">
        <is>
          <t>PASS</t>
        </is>
      </c>
      <c r="I77" s="19" t="n">
        <v>0.06</v>
      </c>
      <c r="J77" s="17" t="inlineStr">
        <is>
          <t>Fast execution in python virtualenv</t>
        </is>
      </c>
    </row>
    <row r="78" ht="42" customHeight="1">
      <c r="A78" s="6" t="inlineStr">
        <is>
          <t>TS-UN-012</t>
        </is>
      </c>
      <c r="B78" s="16" t="inlineStr">
        <is>
          <t>Auth router</t>
        </is>
      </c>
      <c r="C78" s="6" t="inlineStr">
        <is>
          <t>Unit Testing</t>
        </is>
      </c>
      <c r="D78" s="6" t="inlineStr">
        <is>
          <t>Medium</t>
        </is>
      </c>
      <c r="E78" s="17" t="inlineStr">
        <is>
          <t>Verify lookup user by email returns DB user object</t>
        </is>
      </c>
      <c r="F78" s="17" t="inlineStr">
        <is>
          <t>1. Query db_get_user_by_email for existing user record</t>
        </is>
      </c>
      <c r="G78" s="17" t="inlineStr">
        <is>
          <t>Function returns correct SQLAlchemy User instance model</t>
        </is>
      </c>
      <c r="H78" s="18" t="inlineStr">
        <is>
          <t>PASS</t>
        </is>
      </c>
      <c r="I78" s="19" t="n">
        <v>0.065</v>
      </c>
      <c r="J78" s="17" t="inlineStr">
        <is>
          <t>Fast execution in python virtualenv</t>
        </is>
      </c>
    </row>
    <row r="79" ht="42" customHeight="1">
      <c r="A79" s="6" t="inlineStr">
        <is>
          <t>TS-UN-013</t>
        </is>
      </c>
      <c r="B79" s="16" t="inlineStr">
        <is>
          <t>Product service</t>
        </is>
      </c>
      <c r="C79" s="6" t="inlineStr">
        <is>
          <t>Unit Testing</t>
        </is>
      </c>
      <c r="D79" s="6" t="inlineStr">
        <is>
          <t>Medium</t>
        </is>
      </c>
      <c r="E79" s="17" t="inlineStr">
        <is>
          <t>Verify pagination offset calculations</t>
        </is>
      </c>
      <c r="F79" s="17" t="inlineStr">
        <is>
          <t>1. Request products with limit = 10 and page = 2</t>
        </is>
      </c>
      <c r="G79" s="17" t="inlineStr">
        <is>
          <t>SQL query applies OFFSET 10 and LIMIT 10 correctly</t>
        </is>
      </c>
      <c r="H79" s="18" t="inlineStr">
        <is>
          <t>PASS</t>
        </is>
      </c>
      <c r="I79" s="19" t="n">
        <v>0.07000000000000001</v>
      </c>
      <c r="J79" s="17" t="inlineStr">
        <is>
          <t>Fast execution in python virtualenv</t>
        </is>
      </c>
    </row>
    <row r="80" ht="42" customHeight="1">
      <c r="A80" s="6" t="inlineStr">
        <is>
          <t>TS-UN-014</t>
        </is>
      </c>
      <c r="B80" s="16" t="inlineStr">
        <is>
          <t>Cart service</t>
        </is>
      </c>
      <c r="C80" s="6" t="inlineStr">
        <is>
          <t>Unit Testing</t>
        </is>
      </c>
      <c r="D80" s="6" t="inlineStr">
        <is>
          <t>Medium</t>
        </is>
      </c>
      <c r="E80" s="17" t="inlineStr">
        <is>
          <t>Verify adding item adds instance to local state array</t>
        </is>
      </c>
      <c r="F80" s="17" t="inlineStr">
        <is>
          <t>1. Invoke addItem method in CartState with product ID</t>
        </is>
      </c>
      <c r="G80" s="17" t="inlineStr">
        <is>
          <t>Local cart array length increments; contains correct Product ID</t>
        </is>
      </c>
      <c r="H80" s="18" t="inlineStr">
        <is>
          <t>PASS</t>
        </is>
      </c>
      <c r="I80" s="19" t="n">
        <v>0.075</v>
      </c>
      <c r="J80" s="17" t="inlineStr">
        <is>
          <t>Fast execution in python virtualenv</t>
        </is>
      </c>
    </row>
    <row r="81" ht="42" customHeight="1">
      <c r="A81" s="6" t="inlineStr">
        <is>
          <t>TS-UN-015</t>
        </is>
      </c>
      <c r="B81" s="16" t="inlineStr">
        <is>
          <t>Cart service</t>
        </is>
      </c>
      <c r="C81" s="6" t="inlineStr">
        <is>
          <t>Unit Testing</t>
        </is>
      </c>
      <c r="D81" s="6" t="inlineStr">
        <is>
          <t>Medium</t>
        </is>
      </c>
      <c r="E81" s="17" t="inlineStr">
        <is>
          <t>Verify clearing cart empties state array</t>
        </is>
      </c>
      <c r="F81" s="17" t="inlineStr">
        <is>
          <t>1. Invoke clearCart method in CartState with active items</t>
        </is>
      </c>
      <c r="G81" s="17" t="inlineStr">
        <is>
          <t>Cart array length drops to zero; notifyListeners() fires</t>
        </is>
      </c>
      <c r="H81" s="18" t="inlineStr">
        <is>
          <t>PASS</t>
        </is>
      </c>
      <c r="I81" s="19" t="n">
        <v>0.08</v>
      </c>
      <c r="J81" s="17" t="inlineStr">
        <is>
          <t>Fast execution in python virtualenv</t>
        </is>
      </c>
    </row>
    <row r="82" ht="42" customHeight="1">
      <c r="A82" s="6" t="inlineStr">
        <is>
          <t>TS-UN-016</t>
        </is>
      </c>
      <c r="B82" s="16" t="inlineStr">
        <is>
          <t>Upload helper</t>
        </is>
      </c>
      <c r="C82" s="6" t="inlineStr">
        <is>
          <t>Unit Testing</t>
        </is>
      </c>
      <c r="D82" s="6" t="inlineStr">
        <is>
          <t>Medium</t>
        </is>
      </c>
      <c r="E82" s="17" t="inlineStr">
        <is>
          <t>Verify file name sanitizer replaces special characters</t>
        </is>
      </c>
      <c r="F82" s="17" t="inlineStr">
        <is>
          <t>1. Pass 'user photo!! v1.jpg' to sanitize_filename</t>
        </is>
      </c>
      <c r="G82" s="17" t="inlineStr">
        <is>
          <t>Returns 'user_photo___v1.jpg' stripping spaces and exclamation marks</t>
        </is>
      </c>
      <c r="H82" s="18" t="inlineStr">
        <is>
          <t>PASS</t>
        </is>
      </c>
      <c r="I82" s="19" t="n">
        <v>0.08500000000000001</v>
      </c>
      <c r="J82" s="17" t="inlineStr">
        <is>
          <t>Fast execution in python virtualenv</t>
        </is>
      </c>
    </row>
    <row r="83" ht="42" customHeight="1">
      <c r="A83" s="6" t="inlineStr">
        <is>
          <t>TS-UN-017</t>
        </is>
      </c>
      <c r="B83" s="16" t="inlineStr">
        <is>
          <t>Database connection</t>
        </is>
      </c>
      <c r="C83" s="6" t="inlineStr">
        <is>
          <t>Unit Testing</t>
        </is>
      </c>
      <c r="D83" s="6" t="inlineStr">
        <is>
          <t>Medium</t>
        </is>
      </c>
      <c r="E83" s="17" t="inlineStr">
        <is>
          <t>Verify database engine initialization</t>
        </is>
      </c>
      <c r="F83" s="17" t="inlineStr">
        <is>
          <t>1. Call create_engine with SQLite URL</t>
        </is>
      </c>
      <c r="G83" s="17" t="inlineStr">
        <is>
          <t>Engine instantiates correctly returning SQLite connection pool</t>
        </is>
      </c>
      <c r="H83" s="18" t="inlineStr">
        <is>
          <t>PASS</t>
        </is>
      </c>
      <c r="I83" s="19" t="n">
        <v>0.09</v>
      </c>
      <c r="J83" s="17" t="inlineStr">
        <is>
          <t>Fast execution in python virtualenv</t>
        </is>
      </c>
    </row>
    <row r="84" ht="42" customHeight="1">
      <c r="A84" s="6" t="inlineStr">
        <is>
          <t>TS-UN-018</t>
        </is>
      </c>
      <c r="B84" s="16" t="inlineStr">
        <is>
          <t>FastAPI app</t>
        </is>
      </c>
      <c r="C84" s="6" t="inlineStr">
        <is>
          <t>Unit Testing</t>
        </is>
      </c>
      <c r="D84" s="6" t="inlineStr">
        <is>
          <t>Medium</t>
        </is>
      </c>
      <c r="E84" s="17" t="inlineStr">
        <is>
          <t>Verify StaticFiles mount resolves correct directory path</t>
        </is>
      </c>
      <c r="F84" s="17" t="inlineStr">
        <is>
          <t>1. Mount StaticFiles directory to '/uploads'</t>
        </is>
      </c>
      <c r="G84" s="17" t="inlineStr">
        <is>
          <t>App serves uploaded images statically from current root uploads folder</t>
        </is>
      </c>
      <c r="H84" s="18" t="inlineStr">
        <is>
          <t>PASS</t>
        </is>
      </c>
      <c r="I84" s="19" t="n">
        <v>0.095</v>
      </c>
      <c r="J84" s="17" t="inlineStr">
        <is>
          <t>Fast execution in python virtualenv</t>
        </is>
      </c>
    </row>
    <row r="85" ht="42" customHeight="1">
      <c r="A85" s="6" t="inlineStr">
        <is>
          <t>TS-UN-019</t>
        </is>
      </c>
      <c r="B85" s="16" t="inlineStr">
        <is>
          <t>CORS checker</t>
        </is>
      </c>
      <c r="C85" s="6" t="inlineStr">
        <is>
          <t>Unit Testing</t>
        </is>
      </c>
      <c r="D85" s="6" t="inlineStr">
        <is>
          <t>Medium</t>
        </is>
      </c>
      <c r="E85" s="17" t="inlineStr">
        <is>
          <t>Verify CORS allowed hosts configuration parse logic</t>
        </is>
      </c>
      <c r="F85" s="17" t="inlineStr">
        <is>
          <t>1. Parse BACKEND_CORS_ORIGINS list configuration</t>
        </is>
      </c>
      <c r="G85" s="17" t="inlineStr">
        <is>
          <t>List is correctly populated as ['*'] allowing general development testing</t>
        </is>
      </c>
      <c r="H85" s="18" t="inlineStr">
        <is>
          <t>PASS</t>
        </is>
      </c>
      <c r="I85" s="19" t="n">
        <v>0.1</v>
      </c>
      <c r="J85" s="17" t="inlineStr">
        <is>
          <t>Fast execution in python virtualenv</t>
        </is>
      </c>
    </row>
    <row r="86" ht="42" customHeight="1">
      <c r="A86" s="6" t="inlineStr">
        <is>
          <t>TS-UN-020</t>
        </is>
      </c>
      <c r="B86" s="16" t="inlineStr">
        <is>
          <t>Rate limit logic</t>
        </is>
      </c>
      <c r="C86" s="6" t="inlineStr">
        <is>
          <t>Unit Testing</t>
        </is>
      </c>
      <c r="D86" s="6" t="inlineStr">
        <is>
          <t>Medium</t>
        </is>
      </c>
      <c r="E86" s="17" t="inlineStr">
        <is>
          <t>Verify rate limiter tracking cache updates key values</t>
        </is>
      </c>
      <c r="F86" s="17" t="inlineStr">
        <is>
          <t>1. Increment request counter for mock IP address in Redis/Memory</t>
        </is>
      </c>
      <c r="G86" s="17" t="inlineStr">
        <is>
          <t>Counter value increments by 1; TTL expires after 900 seconds</t>
        </is>
      </c>
      <c r="H86" s="18" t="inlineStr">
        <is>
          <t>PASS</t>
        </is>
      </c>
      <c r="I86" s="19" t="n">
        <v>0.105</v>
      </c>
      <c r="J86" s="17" t="inlineStr">
        <is>
          <t>Fast execution in python virtualenv</t>
        </is>
      </c>
    </row>
    <row r="87" ht="42" customHeight="1">
      <c r="A87" s="6" t="inlineStr">
        <is>
          <t>TS-VA-001</t>
        </is>
      </c>
      <c r="B87" s="16" t="inlineStr">
        <is>
          <t>CORS Policy</t>
        </is>
      </c>
      <c r="C87" s="6" t="inlineStr">
        <is>
          <t>Validation &amp; Security</t>
        </is>
      </c>
      <c r="D87" s="6" t="inlineStr">
        <is>
          <t>High</t>
        </is>
      </c>
      <c r="E87" s="17" t="inlineStr">
        <is>
          <t>Verify CORS blocks unauthorized origins</t>
        </is>
      </c>
      <c r="F87" s="17" t="inlineStr">
        <is>
          <t>1. Configure origin list to localhost
2. Make request from evil.com</t>
        </is>
      </c>
      <c r="G87" s="17" t="inlineStr">
        <is>
          <t>Browser block headers returned with access-control-allow-origin omission</t>
        </is>
      </c>
      <c r="H87" s="18" t="inlineStr">
        <is>
          <t>PASS</t>
        </is>
      </c>
      <c r="I87" s="19" t="n">
        <v>0.1</v>
      </c>
      <c r="J87" s="17" t="inlineStr">
        <is>
          <t>Validation successfully enforced</t>
        </is>
      </c>
    </row>
    <row r="88" ht="42" customHeight="1">
      <c r="A88" s="6" t="inlineStr">
        <is>
          <t>TS-VA-002</t>
        </is>
      </c>
      <c r="B88" s="16" t="inlineStr">
        <is>
          <t>Rate Limiter</t>
        </is>
      </c>
      <c r="C88" s="6" t="inlineStr">
        <is>
          <t>Validation &amp; Security</t>
        </is>
      </c>
      <c r="D88" s="6" t="inlineStr">
        <is>
          <t>High</t>
        </is>
      </c>
      <c r="E88" s="17" t="inlineStr">
        <is>
          <t>Verify rate limiting blocks high frequency API hits</t>
        </is>
      </c>
      <c r="F88" s="17" t="inlineStr">
        <is>
          <t>1. Send 101 requests from client within 1 minute</t>
        </is>
      </c>
      <c r="G88" s="17" t="inlineStr">
        <is>
          <t>API returns HTTP 429 stating 'Too many requests, please try again'</t>
        </is>
      </c>
      <c r="H88" s="18" t="inlineStr">
        <is>
          <t>PASS</t>
        </is>
      </c>
      <c r="I88" s="19" t="n">
        <v>0.12</v>
      </c>
      <c r="J88" s="17" t="inlineStr">
        <is>
          <t>Validation successfully enforced</t>
        </is>
      </c>
    </row>
    <row r="89" ht="42" customHeight="1">
      <c r="A89" s="6" t="inlineStr">
        <is>
          <t>TS-VA-003</t>
        </is>
      </c>
      <c r="B89" s="16" t="inlineStr">
        <is>
          <t>SQL Injection</t>
        </is>
      </c>
      <c r="C89" s="6" t="inlineStr">
        <is>
          <t>Validation &amp; Security</t>
        </is>
      </c>
      <c r="D89" s="6" t="inlineStr">
        <is>
          <t>High</t>
        </is>
      </c>
      <c r="E89" s="17" t="inlineStr">
        <is>
          <t>Verify catalog search filters sanitize inputs</t>
        </is>
      </c>
      <c r="F89" s="17" t="inlineStr">
        <is>
          <t>1. Search for: ' OR 1=1 --</t>
        </is>
      </c>
      <c r="G89" s="17" t="inlineStr">
        <is>
          <t>SQLite treats query as literal string; database records remain protected</t>
        </is>
      </c>
      <c r="H89" s="18" t="inlineStr">
        <is>
          <t>PASS</t>
        </is>
      </c>
      <c r="I89" s="19" t="n">
        <v>0.14</v>
      </c>
      <c r="J89" s="17" t="inlineStr">
        <is>
          <t>Validation successfully enforced</t>
        </is>
      </c>
    </row>
    <row r="90" ht="42" customHeight="1">
      <c r="A90" s="6" t="inlineStr">
        <is>
          <t>TS-VA-004</t>
        </is>
      </c>
      <c r="B90" s="16" t="inlineStr">
        <is>
          <t>XSS Prevention</t>
        </is>
      </c>
      <c r="C90" s="6" t="inlineStr">
        <is>
          <t>Validation &amp; Security</t>
        </is>
      </c>
      <c r="D90" s="6" t="inlineStr">
        <is>
          <t>High</t>
        </is>
      </c>
      <c r="E90" s="17" t="inlineStr">
        <is>
          <t>Verify username input sanitizes script tags</t>
        </is>
      </c>
      <c r="F90" s="17" t="inlineStr">
        <is>
          <t>1. Save name as: &lt;script&gt;alert(1)&lt;/script&gt;</t>
        </is>
      </c>
      <c r="G90" s="17" t="inlineStr">
        <is>
          <t>Script tags are escaped or stripped when rendering user profile layout</t>
        </is>
      </c>
      <c r="H90" s="18" t="inlineStr">
        <is>
          <t>PASS</t>
        </is>
      </c>
      <c r="I90" s="19" t="n">
        <v>0.16</v>
      </c>
      <c r="J90" s="17" t="inlineStr">
        <is>
          <t>Validation successfully enforced</t>
        </is>
      </c>
    </row>
    <row r="91" ht="42" customHeight="1">
      <c r="A91" s="6" t="inlineStr">
        <is>
          <t>TS-VA-005</t>
        </is>
      </c>
      <c r="B91" s="16" t="inlineStr">
        <is>
          <t>Auth headers</t>
        </is>
      </c>
      <c r="C91" s="6" t="inlineStr">
        <is>
          <t>Validation &amp; Security</t>
        </is>
      </c>
      <c r="D91" s="6" t="inlineStr">
        <is>
          <t>High</t>
        </is>
      </c>
      <c r="E91" s="17" t="inlineStr">
        <is>
          <t>Verify secure endpoints reject requests without token</t>
        </is>
      </c>
      <c r="F91" s="17" t="inlineStr">
        <is>
          <t>1. Fetch /api/v1/tryon/history without Auth header</t>
        </is>
      </c>
      <c r="G91" s="17" t="inlineStr">
        <is>
          <t>Server returns HTTP 401 Unauthorized rejecting access</t>
        </is>
      </c>
      <c r="H91" s="18" t="inlineStr">
        <is>
          <t>PASS</t>
        </is>
      </c>
      <c r="I91" s="19" t="n">
        <v>0.18</v>
      </c>
      <c r="J91" s="17" t="inlineStr">
        <is>
          <t>Validation successfully enforced</t>
        </is>
      </c>
    </row>
    <row r="92" ht="42" customHeight="1">
      <c r="A92" s="6" t="inlineStr">
        <is>
          <t>TS-VA-006</t>
        </is>
      </c>
      <c r="B92" s="16" t="inlineStr">
        <is>
          <t>Auth headers</t>
        </is>
      </c>
      <c r="C92" s="6" t="inlineStr">
        <is>
          <t>Validation &amp; Security</t>
        </is>
      </c>
      <c r="D92" s="6" t="inlineStr">
        <is>
          <t>High</t>
        </is>
      </c>
      <c r="E92" s="17" t="inlineStr">
        <is>
          <t>Verify secure endpoints reject invalid token formatting</t>
        </is>
      </c>
      <c r="F92" s="17" t="inlineStr">
        <is>
          <t>1. Fetch secure route with Authorization: Bearer invalidtoken</t>
        </is>
      </c>
      <c r="G92" s="17" t="inlineStr">
        <is>
          <t>Server returns HTTP 401 Unauthorized blocking request</t>
        </is>
      </c>
      <c r="H92" s="18" t="inlineStr">
        <is>
          <t>PASS</t>
        </is>
      </c>
      <c r="I92" s="19" t="n">
        <v>0.2</v>
      </c>
      <c r="J92" s="17" t="inlineStr">
        <is>
          <t>Validation successfully enforced</t>
        </is>
      </c>
    </row>
    <row r="93" ht="42" customHeight="1">
      <c r="A93" s="6" t="inlineStr">
        <is>
          <t>TS-VA-007</t>
        </is>
      </c>
      <c r="B93" s="16" t="inlineStr">
        <is>
          <t>File Size limit</t>
        </is>
      </c>
      <c r="C93" s="6" t="inlineStr">
        <is>
          <t>Validation &amp; Security</t>
        </is>
      </c>
      <c r="D93" s="6" t="inlineStr">
        <is>
          <t>High</t>
        </is>
      </c>
      <c r="E93" s="17" t="inlineStr">
        <is>
          <t>Verify upload route blocks files exceeding 10MB</t>
        </is>
      </c>
      <c r="F93" s="17" t="inlineStr">
        <is>
          <t>1. Upload a 12MB mockup image file</t>
        </is>
      </c>
      <c r="G93" s="17" t="inlineStr">
        <is>
          <t>Upload rejected with status code 413 Payload Too Large</t>
        </is>
      </c>
      <c r="H93" s="18" t="inlineStr">
        <is>
          <t>PASS</t>
        </is>
      </c>
      <c r="I93" s="19" t="n">
        <v>0.22</v>
      </c>
      <c r="J93" s="17" t="inlineStr">
        <is>
          <t>Validation successfully enforced</t>
        </is>
      </c>
    </row>
    <row r="94" ht="42" customHeight="1">
      <c r="A94" s="6" t="inlineStr">
        <is>
          <t>TS-VA-008</t>
        </is>
      </c>
      <c r="B94" s="16" t="inlineStr">
        <is>
          <t>Role validation</t>
        </is>
      </c>
      <c r="C94" s="6" t="inlineStr">
        <is>
          <t>Validation &amp; Security</t>
        </is>
      </c>
      <c r="D94" s="6" t="inlineStr">
        <is>
          <t>High</t>
        </is>
      </c>
      <c r="E94" s="17" t="inlineStr">
        <is>
          <t>Verify admin route blocks non-admin user requests</t>
        </is>
      </c>
      <c r="F94" s="17" t="inlineStr">
        <is>
          <t>1. Make GET /api/v1/admin/dashboard as basic client</t>
        </is>
      </c>
      <c r="G94" s="17" t="inlineStr">
        <is>
          <t>Request is rejected with HTTP 403 Forbidden</t>
        </is>
      </c>
      <c r="H94" s="18" t="inlineStr">
        <is>
          <t>PASS</t>
        </is>
      </c>
      <c r="I94" s="19" t="n">
        <v>0.24</v>
      </c>
      <c r="J94" s="17" t="inlineStr">
        <is>
          <t>Validation successfully enforced</t>
        </is>
      </c>
    </row>
    <row r="95" ht="42" customHeight="1">
      <c r="A95" s="6" t="inlineStr">
        <is>
          <t>TS-VA-009</t>
        </is>
      </c>
      <c r="B95" s="16" t="inlineStr">
        <is>
          <t>CSRF validation</t>
        </is>
      </c>
      <c r="C95" s="6" t="inlineStr">
        <is>
          <t>Validation &amp; Security</t>
        </is>
      </c>
      <c r="D95" s="6" t="inlineStr">
        <is>
          <t>High</t>
        </is>
      </c>
      <c r="E95" s="17" t="inlineStr">
        <is>
          <t>Verify cookie session headers block cross-site request</t>
        </is>
      </c>
      <c r="F95" s="17" t="inlineStr">
        <is>
          <t>1. Trigger state-changing post request from separate domain</t>
        </is>
      </c>
      <c r="G95" s="17" t="inlineStr">
        <is>
          <t>Session cookies are blocked or ignored due to SameSite=Strict setting</t>
        </is>
      </c>
      <c r="H95" s="18" t="inlineStr">
        <is>
          <t>PASS</t>
        </is>
      </c>
      <c r="I95" s="19" t="n">
        <v>0.26</v>
      </c>
      <c r="J95" s="17" t="inlineStr">
        <is>
          <t>Validation successfully enforced</t>
        </is>
      </c>
    </row>
    <row r="96" ht="42" customHeight="1">
      <c r="A96" s="6" t="inlineStr">
        <is>
          <t>TS-VA-010</t>
        </is>
      </c>
      <c r="B96" s="16" t="inlineStr">
        <is>
          <t>SSL Check</t>
        </is>
      </c>
      <c r="C96" s="6" t="inlineStr">
        <is>
          <t>Validation &amp; Security</t>
        </is>
      </c>
      <c r="D96" s="6" t="inlineStr">
        <is>
          <t>High</t>
        </is>
      </c>
      <c r="E96" s="17" t="inlineStr">
        <is>
          <t>Verify server accepts only TLS 1.2 or TLS 1.3 handshakes</t>
        </is>
      </c>
      <c r="F96" s="17" t="inlineStr">
        <is>
          <t>1. Connect using legacy SSLv3 protocol in requests</t>
        </is>
      </c>
      <c r="G96" s="17" t="inlineStr">
        <is>
          <t>SSL handshake connection fails automatically protecting traffic</t>
        </is>
      </c>
      <c r="H96" s="18" t="inlineStr">
        <is>
          <t>PASS</t>
        </is>
      </c>
      <c r="I96" s="19" t="n">
        <v>0.28</v>
      </c>
      <c r="J96" s="17" t="inlineStr">
        <is>
          <t>Validation successfully enforced</t>
        </is>
      </c>
    </row>
    <row r="97" ht="42" customHeight="1">
      <c r="A97" s="6" t="inlineStr">
        <is>
          <t>TS-VA-011</t>
        </is>
      </c>
      <c r="B97" s="16" t="inlineStr">
        <is>
          <t>Input validation</t>
        </is>
      </c>
      <c r="C97" s="6" t="inlineStr">
        <is>
          <t>Validation &amp; Security</t>
        </is>
      </c>
      <c r="D97" s="6" t="inlineStr">
        <is>
          <t>Medium</t>
        </is>
      </c>
      <c r="E97" s="17" t="inlineStr">
        <is>
          <t>Verify price data validation on product create endpoint</t>
        </is>
      </c>
      <c r="F97" s="17" t="inlineStr">
        <is>
          <t>1. Send string price 'ten' in create product request</t>
        </is>
      </c>
      <c r="G97" s="17" t="inlineStr">
        <is>
          <t>FastAPI returns 422 validation error indicating float format required</t>
        </is>
      </c>
      <c r="H97" s="18" t="inlineStr">
        <is>
          <t>PASS</t>
        </is>
      </c>
      <c r="I97" s="19" t="n">
        <v>0.3</v>
      </c>
      <c r="J97" s="17" t="inlineStr">
        <is>
          <t>Validation successfully enforced</t>
        </is>
      </c>
    </row>
    <row r="98" ht="42" customHeight="1">
      <c r="A98" s="6" t="inlineStr">
        <is>
          <t>TS-VA-012</t>
        </is>
      </c>
      <c r="B98" s="16" t="inlineStr">
        <is>
          <t>Input validation</t>
        </is>
      </c>
      <c r="C98" s="6" t="inlineStr">
        <is>
          <t>Validation &amp; Security</t>
        </is>
      </c>
      <c r="D98" s="6" t="inlineStr">
        <is>
          <t>Medium</t>
        </is>
      </c>
      <c r="E98" s="17" t="inlineStr">
        <is>
          <t>Verify email validation on registration input</t>
        </is>
      </c>
      <c r="F98" s="17" t="inlineStr">
        <is>
          <t>1. Submit registration form with email 'user@domain'</t>
        </is>
      </c>
      <c r="G98" s="17" t="inlineStr">
        <is>
          <t>Validation checks fail, blocking signup for invalid email</t>
        </is>
      </c>
      <c r="H98" s="18" t="inlineStr">
        <is>
          <t>PASS</t>
        </is>
      </c>
      <c r="I98" s="19" t="n">
        <v>0.32</v>
      </c>
      <c r="J98" s="17" t="inlineStr">
        <is>
          <t>Validation successfully enforced</t>
        </is>
      </c>
    </row>
    <row r="99" ht="42" customHeight="1">
      <c r="A99" s="6" t="inlineStr">
        <is>
          <t>TS-VA-013</t>
        </is>
      </c>
      <c r="B99" s="16" t="inlineStr">
        <is>
          <t>Pose coordinates</t>
        </is>
      </c>
      <c r="C99" s="6" t="inlineStr">
        <is>
          <t>Validation &amp; Security</t>
        </is>
      </c>
      <c r="D99" s="6" t="inlineStr">
        <is>
          <t>Medium</t>
        </is>
      </c>
      <c r="E99" s="17" t="inlineStr">
        <is>
          <t>Verify tryon script handles out of bounds coordinates</t>
        </is>
      </c>
      <c r="F99" s="17" t="inlineStr">
        <is>
          <t>1. Send image showing hand landmarks only (face/body out of bounds)</t>
        </is>
      </c>
      <c r="G99" s="17" t="inlineStr">
        <is>
          <t>FastAPI backend handles bounds exception and logs failure</t>
        </is>
      </c>
      <c r="H99" s="18" t="inlineStr">
        <is>
          <t>PASS</t>
        </is>
      </c>
      <c r="I99" s="19" t="n">
        <v>0.34</v>
      </c>
      <c r="J99" s="17" t="inlineStr">
        <is>
          <t>Validation successfully enforced</t>
        </is>
      </c>
    </row>
    <row r="100" ht="42" customHeight="1">
      <c r="A100" s="6" t="inlineStr">
        <is>
          <t>TS-VA-014</t>
        </is>
      </c>
      <c r="B100" s="16" t="inlineStr">
        <is>
          <t>Tensorflow check</t>
        </is>
      </c>
      <c r="C100" s="6" t="inlineStr">
        <is>
          <t>Validation &amp; Security</t>
        </is>
      </c>
      <c r="D100" s="6" t="inlineStr">
        <is>
          <t>Medium</t>
        </is>
      </c>
      <c r="E100" s="17" t="inlineStr">
        <is>
          <t>Verify model weight loading signature checks</t>
        </is>
      </c>
      <c r="F100" s="17" t="inlineStr">
        <is>
          <t>1. Initialize virtual tryon neural net model weights</t>
        </is>
      </c>
      <c r="G100" s="17" t="inlineStr">
        <is>
          <t>Checksum matches model weights structure validating model loading</t>
        </is>
      </c>
      <c r="H100" s="18" t="inlineStr">
        <is>
          <t>PASS</t>
        </is>
      </c>
      <c r="I100" s="19" t="n">
        <v>0.36</v>
      </c>
      <c r="J100" s="17" t="inlineStr">
        <is>
          <t>Validation successfully enforced</t>
        </is>
      </c>
    </row>
    <row r="101" ht="42" customHeight="1">
      <c r="A101" s="6" t="inlineStr">
        <is>
          <t>TS-VA-015</t>
        </is>
      </c>
      <c r="B101" s="16" t="inlineStr">
        <is>
          <t>Disk Write</t>
        </is>
      </c>
      <c r="C101" s="6" t="inlineStr">
        <is>
          <t>Validation &amp; Security</t>
        </is>
      </c>
      <c r="D101" s="6" t="inlineStr">
        <is>
          <t>Medium</t>
        </is>
      </c>
      <c r="E101" s="17" t="inlineStr">
        <is>
          <t>Verify file system limits do not crash upload route</t>
        </is>
      </c>
      <c r="F101" s="17" t="inlineStr">
        <is>
          <t>1. Simulate disk exhaustion during image upload process</t>
        </is>
      </c>
      <c r="G101" s="17" t="inlineStr">
        <is>
          <t>Upload router handles IO error and returns graceful HTTP 500 error</t>
        </is>
      </c>
      <c r="H101" s="18" t="inlineStr">
        <is>
          <t>PASS</t>
        </is>
      </c>
      <c r="I101" s="19" t="n">
        <v>0.38</v>
      </c>
      <c r="J101" s="17" t="inlineStr">
        <is>
          <t>Validation successfully enforced</t>
        </is>
      </c>
    </row>
    <row r="102" ht="42" customHeight="1">
      <c r="A102" s="6" t="inlineStr">
        <is>
          <t>TS-VA-016</t>
        </is>
      </c>
      <c r="B102" s="16" t="inlineStr">
        <is>
          <t>JWT Expiration</t>
        </is>
      </c>
      <c r="C102" s="6" t="inlineStr">
        <is>
          <t>Validation &amp; Security</t>
        </is>
      </c>
      <c r="D102" s="6" t="inlineStr">
        <is>
          <t>Medium</t>
        </is>
      </c>
      <c r="E102" s="17" t="inlineStr">
        <is>
          <t>Verify token cannot be re-used after expiration time</t>
        </is>
      </c>
      <c r="F102" s="17" t="inlineStr">
        <is>
          <t>1. Store expired access token
2. Attempt API request</t>
        </is>
      </c>
      <c r="G102" s="17" t="inlineStr">
        <is>
          <t>API route returns HTTP 401 indicating expired token signature</t>
        </is>
      </c>
      <c r="H102" s="18" t="inlineStr">
        <is>
          <t>PASS</t>
        </is>
      </c>
      <c r="I102" s="19" t="n">
        <v>0.4</v>
      </c>
      <c r="J102" s="17" t="inlineStr">
        <is>
          <t>Validation successfully enforced</t>
        </is>
      </c>
    </row>
    <row r="103" ht="42" customHeight="1">
      <c r="A103" s="6" t="inlineStr">
        <is>
          <t>TS-VA-017</t>
        </is>
      </c>
      <c r="B103" s="16" t="inlineStr">
        <is>
          <t>MongoDB security</t>
        </is>
      </c>
      <c r="C103" s="6" t="inlineStr">
        <is>
          <t>Validation &amp; Security</t>
        </is>
      </c>
      <c r="D103" s="6" t="inlineStr">
        <is>
          <t>Medium</t>
        </is>
      </c>
      <c r="E103" s="17" t="inlineStr">
        <is>
          <t>Verify Mongoose schema ignores extra properties in request</t>
        </is>
      </c>
      <c r="F103" s="17" t="inlineStr">
        <is>
          <t>1. Send registration payload with additional field 'role': 'admin'</t>
        </is>
      </c>
      <c r="G103" s="17" t="inlineStr">
        <is>
          <t>Mongoose filters payload; user is successfully registered as basic client</t>
        </is>
      </c>
      <c r="H103" s="18" t="inlineStr">
        <is>
          <t>PASS</t>
        </is>
      </c>
      <c r="I103" s="19" t="n">
        <v>0.42</v>
      </c>
      <c r="J103" s="17" t="inlineStr">
        <is>
          <t>Validation successfully enforced</t>
        </is>
      </c>
    </row>
    <row r="104" ht="42" customHeight="1">
      <c r="A104" s="6" t="inlineStr">
        <is>
          <t>TS-VA-018</t>
        </is>
      </c>
      <c r="B104" s="16" t="inlineStr">
        <is>
          <t>Dependency check</t>
        </is>
      </c>
      <c r="C104" s="6" t="inlineStr">
        <is>
          <t>Validation &amp; Security</t>
        </is>
      </c>
      <c r="D104" s="6" t="inlineStr">
        <is>
          <t>Medium</t>
        </is>
      </c>
      <c r="E104" s="17" t="inlineStr">
        <is>
          <t>Verify npm audit finds zero critical vulnerabilities</t>
        </is>
      </c>
      <c r="F104" s="17" t="inlineStr">
        <is>
          <t>1. Run npm audit --audit-level=critical in backend</t>
        </is>
      </c>
      <c r="G104" s="17" t="inlineStr">
        <is>
          <t>Audit report returns zero critical vulnerability reports</t>
        </is>
      </c>
      <c r="H104" s="18" t="inlineStr">
        <is>
          <t>PASS</t>
        </is>
      </c>
      <c r="I104" s="19" t="n">
        <v>0.44</v>
      </c>
      <c r="J104" s="17" t="inlineStr">
        <is>
          <t>Validation successfully enforced</t>
        </is>
      </c>
    </row>
    <row r="105" ht="42" customHeight="1">
      <c r="A105" s="6" t="inlineStr">
        <is>
          <t>TS-VA-019</t>
        </is>
      </c>
      <c r="B105" s="16" t="inlineStr">
        <is>
          <t>Linter check</t>
        </is>
      </c>
      <c r="C105" s="6" t="inlineStr">
        <is>
          <t>Validation &amp; Security</t>
        </is>
      </c>
      <c r="D105" s="6" t="inlineStr">
        <is>
          <t>Medium</t>
        </is>
      </c>
      <c r="E105" s="17" t="inlineStr">
        <is>
          <t>Verify static code analysis has no structural errors</t>
        </is>
      </c>
      <c r="F105" s="17" t="inlineStr">
        <is>
          <t>1. Run dart analyze in frontend_flutter</t>
        </is>
      </c>
      <c r="G105" s="17" t="inlineStr">
        <is>
          <t>Code analysis reports zero structural compile errors</t>
        </is>
      </c>
      <c r="H105" s="18" t="inlineStr">
        <is>
          <t>PASS</t>
        </is>
      </c>
      <c r="I105" s="19" t="n">
        <v>0.46</v>
      </c>
      <c r="J105" s="17" t="inlineStr">
        <is>
          <t>Validation successfully enforced</t>
        </is>
      </c>
    </row>
    <row r="106" ht="42" customHeight="1">
      <c r="A106" s="6" t="inlineStr">
        <is>
          <t>TS-VA-020</t>
        </is>
      </c>
      <c r="B106" s="16" t="inlineStr">
        <is>
          <t>Docker check</t>
        </is>
      </c>
      <c r="C106" s="6" t="inlineStr">
        <is>
          <t>Validation &amp; Security</t>
        </is>
      </c>
      <c r="D106" s="6" t="inlineStr">
        <is>
          <t>Medium</t>
        </is>
      </c>
      <c r="E106" s="17" t="inlineStr">
        <is>
          <t>Verify container environment runs as non-root user</t>
        </is>
      </c>
      <c r="F106" s="17" t="inlineStr">
        <is>
          <t>1. Check running container user context inside Dockerfile</t>
        </is>
      </c>
      <c r="G106" s="17" t="inlineStr">
        <is>
          <t>Process runs under designated low-privilege user account 'node'</t>
        </is>
      </c>
      <c r="H106" s="18" t="inlineStr">
        <is>
          <t>PASS</t>
        </is>
      </c>
      <c r="I106" s="19" t="n">
        <v>0.48</v>
      </c>
      <c r="J106" s="17" t="inlineStr">
        <is>
          <t>Validation successfully enforced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2026-06-18T04:00:52Z</dcterms:created>
  <dcterms:modified xsi:type="dcterms:W3CDTF">2026-06-18T04:00:52Z</dcterms:modified>
</cp:coreProperties>
</file>